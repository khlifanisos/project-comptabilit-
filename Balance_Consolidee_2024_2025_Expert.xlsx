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EC\CLIENTS ASSISTANCE FISCALE\CELLCOM\2025\"/>
    </mc:Choice>
  </mc:AlternateContent>
  <xr:revisionPtr revIDLastSave="0" documentId="8_{33387502-F43C-4682-9718-53577D94A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 consolidée" sheetId="1" r:id="rId1"/>
    <sheet name="Uniquement 2024" sheetId="2" r:id="rId2"/>
    <sheet name="Uniquement 202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2" i="1"/>
  <c r="D301" i="1"/>
  <c r="C301" i="1"/>
</calcChain>
</file>

<file path=xl/sharedStrings.xml><?xml version="1.0" encoding="utf-8"?>
<sst xmlns="http://schemas.openxmlformats.org/spreadsheetml/2006/main" count="720" uniqueCount="598">
  <si>
    <t>Compte</t>
  </si>
  <si>
    <t>Libelle</t>
  </si>
  <si>
    <t>Solde 2024</t>
  </si>
  <si>
    <t>Solde 2025</t>
  </si>
  <si>
    <t>1010010300</t>
  </si>
  <si>
    <t>CAPITAL SOCIAL</t>
  </si>
  <si>
    <t>1110010000</t>
  </si>
  <si>
    <t>Reserve Legale</t>
  </si>
  <si>
    <t>1170010100</t>
  </si>
  <si>
    <t>Primes Demission</t>
  </si>
  <si>
    <t>1182001000</t>
  </si>
  <si>
    <t>Reserve pour Régulation</t>
  </si>
  <si>
    <t>1190010000</t>
  </si>
  <si>
    <t>Avoirs Des Actionnaires</t>
  </si>
  <si>
    <t>1210010000</t>
  </si>
  <si>
    <t>Resultat Reportes</t>
  </si>
  <si>
    <t>1280010000</t>
  </si>
  <si>
    <t>Modification Compt Affe Result Repo</t>
  </si>
  <si>
    <t>1310010000</t>
  </si>
  <si>
    <t>Resultat Beneficiaires</t>
  </si>
  <si>
    <t>1350010000</t>
  </si>
  <si>
    <t>Resultat Deficitaire</t>
  </si>
  <si>
    <t>1510010100</t>
  </si>
  <si>
    <t>Provisions Pour Litiges</t>
  </si>
  <si>
    <t>1510010800</t>
  </si>
  <si>
    <t>Autres Provisions Pour Risques</t>
  </si>
  <si>
    <t>1630010100</t>
  </si>
  <si>
    <t>EMPRUNT HANN.LEASE</t>
  </si>
  <si>
    <t>1630010800</t>
  </si>
  <si>
    <t>CT 762700  FIAT FIORINO</t>
  </si>
  <si>
    <t>1630010900</t>
  </si>
  <si>
    <t>CT AUDI Q3 SPORT</t>
  </si>
  <si>
    <t>1630011000</t>
  </si>
  <si>
    <t>CT 767230 MG LUXURY</t>
  </si>
  <si>
    <t>1630012000</t>
  </si>
  <si>
    <t>CT800580  A5</t>
  </si>
  <si>
    <t>1630013000</t>
  </si>
  <si>
    <t>CT864510  STFM PEUG</t>
  </si>
  <si>
    <t>1630014000</t>
  </si>
  <si>
    <t xml:space="preserve">CT864520/FIAT DOBLO MAXI </t>
  </si>
  <si>
    <t>2130010000</t>
  </si>
  <si>
    <t>Logiciels</t>
  </si>
  <si>
    <t>2230010500</t>
  </si>
  <si>
    <t>MATERIEL &amp; OUTILLAGE</t>
  </si>
  <si>
    <t>2240010400</t>
  </si>
  <si>
    <t>Materiel De Transport</t>
  </si>
  <si>
    <t>2280010100</t>
  </si>
  <si>
    <t>Install Gene, Agenc Et Amenag</t>
  </si>
  <si>
    <t>2280010200</t>
  </si>
  <si>
    <t>Equipements De Bureau</t>
  </si>
  <si>
    <t>2280010300</t>
  </si>
  <si>
    <t>Materiels Informatiques</t>
  </si>
  <si>
    <t>2320010000</t>
  </si>
  <si>
    <t>Immos. Incorporelles En Cours</t>
  </si>
  <si>
    <t>2370010000</t>
  </si>
  <si>
    <t>Avanc &amp; Acompte Verse / Immob Incor</t>
  </si>
  <si>
    <t>2400010000</t>
  </si>
  <si>
    <t>Immobilis A Statut Juridique</t>
  </si>
  <si>
    <t>2510010100</t>
  </si>
  <si>
    <t>Titres De Participation</t>
  </si>
  <si>
    <t>2560010000</t>
  </si>
  <si>
    <t>Autres Formes De Participation</t>
  </si>
  <si>
    <t>2650010100</t>
  </si>
  <si>
    <t>Depots &amp; Cautionnements</t>
  </si>
  <si>
    <t>2810010000</t>
  </si>
  <si>
    <t>Amort Des Immob Incorpo Amortis./Pr</t>
  </si>
  <si>
    <t>2820010000</t>
  </si>
  <si>
    <t>Amort Agenc &amp; Amenag Du Mater &amp; Out</t>
  </si>
  <si>
    <t>2830010000</t>
  </si>
  <si>
    <t>Amort Materiels De Transport</t>
  </si>
  <si>
    <t>2840010000</t>
  </si>
  <si>
    <t>Amort Des Immmob A Statut Juri Part</t>
  </si>
  <si>
    <t>2850010000</t>
  </si>
  <si>
    <t>Amort Install Gene, Agenc Et Amenag</t>
  </si>
  <si>
    <t>2860010000</t>
  </si>
  <si>
    <t>Amort Equipements De Bureau</t>
  </si>
  <si>
    <t>2870010000</t>
  </si>
  <si>
    <t>Amort Materiels Informatiques</t>
  </si>
  <si>
    <t>2910010000</t>
  </si>
  <si>
    <t>Prov Pour Depreciat Des Immob Incor</t>
  </si>
  <si>
    <t>2950010000</t>
  </si>
  <si>
    <t>Prov Pour Ddepr Des Part Et Des Cre</t>
  </si>
  <si>
    <t>3700010000</t>
  </si>
  <si>
    <t>Stocks De Marchandises</t>
  </si>
  <si>
    <t>3700010100</t>
  </si>
  <si>
    <t>Stocks en transit</t>
  </si>
  <si>
    <t>3900010000</t>
  </si>
  <si>
    <t>Prov Pour Deprec Des Stocks</t>
  </si>
  <si>
    <t>4010010000</t>
  </si>
  <si>
    <t>Compte Collectif Frs Local</t>
  </si>
  <si>
    <t>4010010001</t>
  </si>
  <si>
    <t>Compte Collectif Frs Etranger</t>
  </si>
  <si>
    <t>4010010100</t>
  </si>
  <si>
    <t>4030010000</t>
  </si>
  <si>
    <t>Fourn Dexploit -Effet A Payer</t>
  </si>
  <si>
    <t>4080010100</t>
  </si>
  <si>
    <t>Fournisseurs Facture Non Parvenues</t>
  </si>
  <si>
    <t>4090010100</t>
  </si>
  <si>
    <t>Fournisseurs Avances &amp; Accomptes</t>
  </si>
  <si>
    <t>4110010000</t>
  </si>
  <si>
    <t>Compte Collectif Client</t>
  </si>
  <si>
    <t>4110010100</t>
  </si>
  <si>
    <t>Clients Echanges</t>
  </si>
  <si>
    <t>4110010200</t>
  </si>
  <si>
    <t>Clients Créditeurs</t>
  </si>
  <si>
    <t>4120010000</t>
  </si>
  <si>
    <t>Clients Etrangers</t>
  </si>
  <si>
    <t>4130010000</t>
  </si>
  <si>
    <t>Clients Effets A Recev</t>
  </si>
  <si>
    <t>4130010100</t>
  </si>
  <si>
    <t>Traites cautionnées</t>
  </si>
  <si>
    <t>4160010000</t>
  </si>
  <si>
    <t>Clients Douteux Ou Litigieux</t>
  </si>
  <si>
    <t>4160010100</t>
  </si>
  <si>
    <t>Clients-Chèque impayés</t>
  </si>
  <si>
    <t>4160010200</t>
  </si>
  <si>
    <t>Clients-Traites impayée</t>
  </si>
  <si>
    <t>4180010000</t>
  </si>
  <si>
    <t>Clients Prod Non Encore Facture</t>
  </si>
  <si>
    <t>4190010100</t>
  </si>
  <si>
    <t>clients avances &amp; acomptes</t>
  </si>
  <si>
    <t>4190010800</t>
  </si>
  <si>
    <t>RRR A Accorder</t>
  </si>
  <si>
    <t>4210010000</t>
  </si>
  <si>
    <t>Pers Avces &amp; Acptes Salarié</t>
  </si>
  <si>
    <t>4210010100</t>
  </si>
  <si>
    <t>Prêt aux personnels</t>
  </si>
  <si>
    <t>4250010000</t>
  </si>
  <si>
    <t>Personnel Remuneration Dues</t>
  </si>
  <si>
    <t>4280010200</t>
  </si>
  <si>
    <t>Det Provisionnes Pour Conge A Payer</t>
  </si>
  <si>
    <t>4320010001</t>
  </si>
  <si>
    <t>Retenue A La Source Frs 1%</t>
  </si>
  <si>
    <t>4320010003</t>
  </si>
  <si>
    <t>Retenue A La Source Frs 3%</t>
  </si>
  <si>
    <t>4320010010</t>
  </si>
  <si>
    <t>Retenue A La Source Frs 10%</t>
  </si>
  <si>
    <t>4320010011</t>
  </si>
  <si>
    <t>Retenue A La Source sur salaire</t>
  </si>
  <si>
    <t>4320010015</t>
  </si>
  <si>
    <t>Retenue A La Source Frs 15%</t>
  </si>
  <si>
    <t>4320010020</t>
  </si>
  <si>
    <t>Retenue A La Source 20%</t>
  </si>
  <si>
    <t>4320010100</t>
  </si>
  <si>
    <t>IMPOTS SUR LES SOCIETES</t>
  </si>
  <si>
    <t>4320120000</t>
  </si>
  <si>
    <t>Contribution Sociale</t>
  </si>
  <si>
    <t>4340010001</t>
  </si>
  <si>
    <t>Retenue A La Source Client 1%</t>
  </si>
  <si>
    <t>4340010002</t>
  </si>
  <si>
    <t>IMPOTS/BENEFICE RET/IMPORTATION</t>
  </si>
  <si>
    <t>4340010003</t>
  </si>
  <si>
    <t>TVA / ACHAT ETRANGER</t>
  </si>
  <si>
    <t>4340010004</t>
  </si>
  <si>
    <t>ETAT IMPOT DMI</t>
  </si>
  <si>
    <t>4340010300</t>
  </si>
  <si>
    <t>Impôts A Liquider</t>
  </si>
  <si>
    <t>4340010900</t>
  </si>
  <si>
    <t>Impôts Differes</t>
  </si>
  <si>
    <t>4340020900</t>
  </si>
  <si>
    <t>ETAT IMPOTS CSS</t>
  </si>
  <si>
    <t>4360010510</t>
  </si>
  <si>
    <t>Tva A Payer</t>
  </si>
  <si>
    <t>4360010607</t>
  </si>
  <si>
    <t>Tva Deductible 7 %</t>
  </si>
  <si>
    <t>4360010613</t>
  </si>
  <si>
    <t>Tva Deductible 13 %</t>
  </si>
  <si>
    <t>4360010619</t>
  </si>
  <si>
    <t>Tva Deductible 19 %</t>
  </si>
  <si>
    <t>4360010650</t>
  </si>
  <si>
    <t>Crédit de Tva à Reporter</t>
  </si>
  <si>
    <t>4360010670</t>
  </si>
  <si>
    <t>Credit De Tva Apayer</t>
  </si>
  <si>
    <t>4360010707</t>
  </si>
  <si>
    <t>Tva Collectee 7%</t>
  </si>
  <si>
    <t>4360010719</t>
  </si>
  <si>
    <t>Tva Collectee 19%</t>
  </si>
  <si>
    <t>4360010900</t>
  </si>
  <si>
    <t>TCL</t>
  </si>
  <si>
    <t>436002000</t>
  </si>
  <si>
    <t>Autres Tva à Reglariser</t>
  </si>
  <si>
    <t>4370010000</t>
  </si>
  <si>
    <t>Droit De Timbre</t>
  </si>
  <si>
    <t>4370010100</t>
  </si>
  <si>
    <t>TFP</t>
  </si>
  <si>
    <t>4370010200</t>
  </si>
  <si>
    <t>FOPROLOS</t>
  </si>
  <si>
    <t>4420010100</t>
  </si>
  <si>
    <t>Associé Compte Courant</t>
  </si>
  <si>
    <t>4510010000</t>
  </si>
  <si>
    <t>Débiteurs &amp; Créditeurs Divers</t>
  </si>
  <si>
    <t>4510010100</t>
  </si>
  <si>
    <t>DCD Cellcom Distribution</t>
  </si>
  <si>
    <t>4510010400</t>
  </si>
  <si>
    <t>Autres DCD</t>
  </si>
  <si>
    <t>4510010500</t>
  </si>
  <si>
    <t>DCD/Sfax</t>
  </si>
  <si>
    <t>4510010600</t>
  </si>
  <si>
    <t>AUTRES DEBITEURS DIVERS</t>
  </si>
  <si>
    <t>4530010110</t>
  </si>
  <si>
    <t>C.N.S.S.</t>
  </si>
  <si>
    <t>4530010120</t>
  </si>
  <si>
    <t>CAVIS</t>
  </si>
  <si>
    <t>4530010140</t>
  </si>
  <si>
    <t>Assurance Groupe</t>
  </si>
  <si>
    <t>4570010000</t>
  </si>
  <si>
    <t>Fond de caisse provisoire</t>
  </si>
  <si>
    <t>4570010100</t>
  </si>
  <si>
    <t>Assurance Maladie</t>
  </si>
  <si>
    <t>4570010200</t>
  </si>
  <si>
    <t>Assurance Gat</t>
  </si>
  <si>
    <t>4570010300</t>
  </si>
  <si>
    <t>Receveur de Finances</t>
  </si>
  <si>
    <t>4570019999</t>
  </si>
  <si>
    <t>Clients Transfert CR</t>
  </si>
  <si>
    <t>4570020000</t>
  </si>
  <si>
    <t>MOTOROLA</t>
  </si>
  <si>
    <t>4580010600</t>
  </si>
  <si>
    <t>Charges A Payer</t>
  </si>
  <si>
    <t>4580010700</t>
  </si>
  <si>
    <t>Prod A Recev</t>
  </si>
  <si>
    <t>4590010000</t>
  </si>
  <si>
    <t>Compte à Régulariser</t>
  </si>
  <si>
    <t>4610010000</t>
  </si>
  <si>
    <t>Comptes D'attente</t>
  </si>
  <si>
    <t>4610010100</t>
  </si>
  <si>
    <t>Recettes en instance d'affectation</t>
  </si>
  <si>
    <t>4680010000</t>
  </si>
  <si>
    <t>Compte Transitoire Cr V.F</t>
  </si>
  <si>
    <t>4680010100</t>
  </si>
  <si>
    <t>Compte Transitoire Transfert de cré</t>
  </si>
  <si>
    <t>4680010200</t>
  </si>
  <si>
    <t>Compte Transitoire Sim Taraji</t>
  </si>
  <si>
    <t>4680010300</t>
  </si>
  <si>
    <t>Compte Transitoire Sim CSS</t>
  </si>
  <si>
    <t>4680010500</t>
  </si>
  <si>
    <t>Compte Transitoire Formi</t>
  </si>
  <si>
    <t>4680020000</t>
  </si>
  <si>
    <t>Compte Transitoire C Recharge</t>
  </si>
  <si>
    <t>4680030000</t>
  </si>
  <si>
    <t>Compte Transit-Action Marketing TT</t>
  </si>
  <si>
    <t>4710010000</t>
  </si>
  <si>
    <t>Charges Constates Davance</t>
  </si>
  <si>
    <t>4910010000</t>
  </si>
  <si>
    <t>Prov Pour Depre Des Comptes Client</t>
  </si>
  <si>
    <t>4910010100</t>
  </si>
  <si>
    <t>Prov Pour Depre Des Chèques Impayés</t>
  </si>
  <si>
    <t>4910010200</t>
  </si>
  <si>
    <t>Prov Pour Depre Des Eff.Impayées</t>
  </si>
  <si>
    <t>4910010300</t>
  </si>
  <si>
    <t>Prov Sfax</t>
  </si>
  <si>
    <t>4910010400</t>
  </si>
  <si>
    <t>Prov Pour Depre P.N.E.F</t>
  </si>
  <si>
    <t>4910010500</t>
  </si>
  <si>
    <t>PROVISION POUR DEP DES ACTIFS</t>
  </si>
  <si>
    <t>4920010000</t>
  </si>
  <si>
    <t>Prov Pour Depre Fournisseurs</t>
  </si>
  <si>
    <t>4920010100</t>
  </si>
  <si>
    <t>Prov/Effet a Escomptes Non Justifié</t>
  </si>
  <si>
    <t>4980010100</t>
  </si>
  <si>
    <t>PROVIS P.CPT TRANSIT C.RECH</t>
  </si>
  <si>
    <t>4980010200</t>
  </si>
  <si>
    <t>PROV.P CPT TRANSIT LIGHT</t>
  </si>
  <si>
    <t>4980010300</t>
  </si>
  <si>
    <t>PROV P CTE NON JUSTIFIE</t>
  </si>
  <si>
    <t>5050010000</t>
  </si>
  <si>
    <t>Echean A Moins Dun An / Hannibal Le</t>
  </si>
  <si>
    <t>5060010200</t>
  </si>
  <si>
    <t>Credits De Mobilis De Creanc Comme</t>
  </si>
  <si>
    <t>5060010300</t>
  </si>
  <si>
    <t>Credits De Financement En devise</t>
  </si>
  <si>
    <t>5080010000</t>
  </si>
  <si>
    <t>Interets Courus</t>
  </si>
  <si>
    <t>5310010200</t>
  </si>
  <si>
    <t>Cheques A Encaisser</t>
  </si>
  <si>
    <t>5310010201</t>
  </si>
  <si>
    <t>Chèque Impayé</t>
  </si>
  <si>
    <t>5310010300</t>
  </si>
  <si>
    <t>Effets A Lencaissements</t>
  </si>
  <si>
    <t>5310010301</t>
  </si>
  <si>
    <t>Effet Impayée</t>
  </si>
  <si>
    <t>5320010000</t>
  </si>
  <si>
    <t>BH EXPLOITATION 108/9</t>
  </si>
  <si>
    <t>5320010101</t>
  </si>
  <si>
    <t>Chèque à Payer d'Exploitation</t>
  </si>
  <si>
    <t>5320010400</t>
  </si>
  <si>
    <t>Attijari Bank</t>
  </si>
  <si>
    <t>5320010500</t>
  </si>
  <si>
    <t>Tunisie Factoring</t>
  </si>
  <si>
    <t>5320011001</t>
  </si>
  <si>
    <t>BH EVOUCHER 389/0</t>
  </si>
  <si>
    <t>5320011002</t>
  </si>
  <si>
    <t>BH JUMIA INFINIX 006/1</t>
  </si>
  <si>
    <t>5320011003</t>
  </si>
  <si>
    <t>BH JUMIA EVERTEK 007/6</t>
  </si>
  <si>
    <t>5320012000</t>
  </si>
  <si>
    <t>AB 899/19</t>
  </si>
  <si>
    <t>5320013000</t>
  </si>
  <si>
    <t>CCP 032/100</t>
  </si>
  <si>
    <t>5320014000</t>
  </si>
  <si>
    <t>ATTIJARI BANK 747 6</t>
  </si>
  <si>
    <t>5400010000</t>
  </si>
  <si>
    <t>Caisse Dépenses</t>
  </si>
  <si>
    <t>5410010100</t>
  </si>
  <si>
    <t>Caisse Recettes SIEGE</t>
  </si>
  <si>
    <t>5800010000</t>
  </si>
  <si>
    <t>Virements Caisse-Banque</t>
  </si>
  <si>
    <t>5800010001</t>
  </si>
  <si>
    <t>Compensation TUNTEL</t>
  </si>
  <si>
    <t>5800010200</t>
  </si>
  <si>
    <t>Virements Inter-Banque</t>
  </si>
  <si>
    <t>6030010700</t>
  </si>
  <si>
    <t>Variations Stocks Marchandises</t>
  </si>
  <si>
    <t>6060010000</t>
  </si>
  <si>
    <t>Achat N Stockes De Mat Et Fourn</t>
  </si>
  <si>
    <t>6060010300</t>
  </si>
  <si>
    <t>Achats Carburant Non Stocké</t>
  </si>
  <si>
    <t>6060010301</t>
  </si>
  <si>
    <t>Achats Bons Carburant Non Stocké</t>
  </si>
  <si>
    <t>6060010400</t>
  </si>
  <si>
    <t>Eau</t>
  </si>
  <si>
    <t>6060010500</t>
  </si>
  <si>
    <t>Electricité</t>
  </si>
  <si>
    <t>6060010600</t>
  </si>
  <si>
    <t>Achats petit Outillage Non Stocké C</t>
  </si>
  <si>
    <t>6060010700</t>
  </si>
  <si>
    <t>Achats Pdts Entretiens Centrale</t>
  </si>
  <si>
    <t>6060010703</t>
  </si>
  <si>
    <t>Achats Pdts sanitaires</t>
  </si>
  <si>
    <t>6060010800</t>
  </si>
  <si>
    <t>Achats Divers</t>
  </si>
  <si>
    <t>6070010000</t>
  </si>
  <si>
    <t>Achats Locaux Gsm</t>
  </si>
  <si>
    <t>6070010020</t>
  </si>
  <si>
    <t>Achats Locaux Cartes de Recahrge</t>
  </si>
  <si>
    <t>6070010100</t>
  </si>
  <si>
    <t>Achat Importe Gsm</t>
  </si>
  <si>
    <t>6070010400</t>
  </si>
  <si>
    <t>Frets/Achats Gsm</t>
  </si>
  <si>
    <t>6070010420</t>
  </si>
  <si>
    <t>Frets/Achats Accessoires</t>
  </si>
  <si>
    <t>6070010421</t>
  </si>
  <si>
    <t>FRAIS TRANSIT/ACHATS ETRANGERS</t>
  </si>
  <si>
    <t>6070010500</t>
  </si>
  <si>
    <t>Droits De Douanes/Ach Gsm</t>
  </si>
  <si>
    <t>6070010510</t>
  </si>
  <si>
    <t>Droits De Douanes/Ach Gsm Echantill</t>
  </si>
  <si>
    <t>6070010530</t>
  </si>
  <si>
    <t>Droits De Douanes/Ach Divers</t>
  </si>
  <si>
    <t>6070010600</t>
  </si>
  <si>
    <t>Assurance/Achats Gsm</t>
  </si>
  <si>
    <t>6070010620</t>
  </si>
  <si>
    <t>Assurance/Achats Etarngers Divers</t>
  </si>
  <si>
    <t>6070010700</t>
  </si>
  <si>
    <t>Frais De Magasinage &amp; Manutention</t>
  </si>
  <si>
    <t>6070010800</t>
  </si>
  <si>
    <t>Transport/Achats Etrangers</t>
  </si>
  <si>
    <t>6070011000</t>
  </si>
  <si>
    <t>Frais D'homologation</t>
  </si>
  <si>
    <t>6070011001</t>
  </si>
  <si>
    <t>FRAIS HOMOLOGATIN ECHNT</t>
  </si>
  <si>
    <t>6070011010</t>
  </si>
  <si>
    <t>Frais Central Tech-Mise en Conform.</t>
  </si>
  <si>
    <t>6090010100</t>
  </si>
  <si>
    <t>RRR OBTENUE SUR ACHAT</t>
  </si>
  <si>
    <t>6110010000</t>
  </si>
  <si>
    <t>Sous-Traitance TT</t>
  </si>
  <si>
    <t>6110010100</t>
  </si>
  <si>
    <t>Sous-Traitance Gsm</t>
  </si>
  <si>
    <t>6130010000</t>
  </si>
  <si>
    <t>Locations Biens Immeubles</t>
  </si>
  <si>
    <t>6140010000</t>
  </si>
  <si>
    <t>Charg Locative Et De Copropriete</t>
  </si>
  <si>
    <t>6150010000</t>
  </si>
  <si>
    <t>Entretien &amp; Reparation Vehicules</t>
  </si>
  <si>
    <t>6150010001</t>
  </si>
  <si>
    <t>Entretien &amp; Reparation Vehicules AS</t>
  </si>
  <si>
    <t>6150010100</t>
  </si>
  <si>
    <t>Entretien &amp; Reparation Locaux Admin</t>
  </si>
  <si>
    <t>6150010200</t>
  </si>
  <si>
    <t>Entretien &amp; Reparation Equip.&amp; Mate</t>
  </si>
  <si>
    <t>6150010300</t>
  </si>
  <si>
    <t>ENT&amp; REP MAT INFORMATIQUE</t>
  </si>
  <si>
    <t>6160010000</t>
  </si>
  <si>
    <t>Primes D'assurances Incendie</t>
  </si>
  <si>
    <t>6160010100</t>
  </si>
  <si>
    <t>Primes D'assurances Vehicules</t>
  </si>
  <si>
    <t>6160010200</t>
  </si>
  <si>
    <t>ASSURANCE TRANSPORT</t>
  </si>
  <si>
    <t>6160010300</t>
  </si>
  <si>
    <t>ASSURANCE VOYAGE</t>
  </si>
  <si>
    <t>6170010000</t>
  </si>
  <si>
    <t>Documentations</t>
  </si>
  <si>
    <t>6170010100</t>
  </si>
  <si>
    <t>Frais De Séminaires &amp; Formations</t>
  </si>
  <si>
    <t>6170010200</t>
  </si>
  <si>
    <t>Abonnements</t>
  </si>
  <si>
    <t>6170010300</t>
  </si>
  <si>
    <t>Divers Services Exterieurs</t>
  </si>
  <si>
    <t>6210010000</t>
  </si>
  <si>
    <t>Enlevement Déchets Contenaires</t>
  </si>
  <si>
    <t>6210010100</t>
  </si>
  <si>
    <t>Frais De Parking</t>
  </si>
  <si>
    <t>6210010200</t>
  </si>
  <si>
    <t>GARDIENAGE ET SURVEILLANCE</t>
  </si>
  <si>
    <t>6220010000</t>
  </si>
  <si>
    <t>Remuneration Dinterme Honoraires YK</t>
  </si>
  <si>
    <t>6220010100</t>
  </si>
  <si>
    <t>Remun.Avocats</t>
  </si>
  <si>
    <t>6220010200</t>
  </si>
  <si>
    <t>Autres Remun.&amp; Honoraires</t>
  </si>
  <si>
    <t>6220010300</t>
  </si>
  <si>
    <t>Autres Remun.&amp; Assistance Inform.</t>
  </si>
  <si>
    <t>6220010400</t>
  </si>
  <si>
    <t>REDEVANCE SAGE</t>
  </si>
  <si>
    <t>6230010000</t>
  </si>
  <si>
    <t>Dons à Caractère Courant</t>
  </si>
  <si>
    <t>6230010100</t>
  </si>
  <si>
    <t>Frais Marketing GSM</t>
  </si>
  <si>
    <t>6230010110</t>
  </si>
  <si>
    <t>Frais Marketing Cellcom</t>
  </si>
  <si>
    <t>6230010200</t>
  </si>
  <si>
    <t>Frais Marketing Incentive</t>
  </si>
  <si>
    <t>6230010400</t>
  </si>
  <si>
    <t>Frais Marketing INFINIX</t>
  </si>
  <si>
    <t>6230010700</t>
  </si>
  <si>
    <t>Publications</t>
  </si>
  <si>
    <t>6240010200</t>
  </si>
  <si>
    <t>Frais/ Ventes ENVOI COLIS</t>
  </si>
  <si>
    <t>6240010210</t>
  </si>
  <si>
    <t>Frais/ Ventes REMT CT</t>
  </si>
  <si>
    <t>6240010211</t>
  </si>
  <si>
    <t>FRAIS/VTE TT MKS</t>
  </si>
  <si>
    <t>6250010100</t>
  </si>
  <si>
    <t>Deplacements</t>
  </si>
  <si>
    <t>6250010110</t>
  </si>
  <si>
    <t>Achat Carte Péage</t>
  </si>
  <si>
    <t>6250010600</t>
  </si>
  <si>
    <t>Missions à l'etranger</t>
  </si>
  <si>
    <t>6250010610</t>
  </si>
  <si>
    <t>Frais de Missions à l'etranger</t>
  </si>
  <si>
    <t>6250010620</t>
  </si>
  <si>
    <t>Frais d'Hebergement Hotel</t>
  </si>
  <si>
    <t>6250010630</t>
  </si>
  <si>
    <t>Frais De Restauration</t>
  </si>
  <si>
    <t>6250010631</t>
  </si>
  <si>
    <t>Frais De Restauration/Bons</t>
  </si>
  <si>
    <t>6250010700</t>
  </si>
  <si>
    <t>Receptions</t>
  </si>
  <si>
    <t>6260010000</t>
  </si>
  <si>
    <t>Frais Postaux</t>
  </si>
  <si>
    <t>6260010100</t>
  </si>
  <si>
    <t>Frais De Telephone</t>
  </si>
  <si>
    <t>6260010110</t>
  </si>
  <si>
    <t>Achat Cartes Gsm</t>
  </si>
  <si>
    <t>6260010120</t>
  </si>
  <si>
    <t>Frais Telephone SAV</t>
  </si>
  <si>
    <t>6260010200</t>
  </si>
  <si>
    <t>Frais De Fax</t>
  </si>
  <si>
    <t>6260010300</t>
  </si>
  <si>
    <t>Frais D'Internet</t>
  </si>
  <si>
    <t>6260010310</t>
  </si>
  <si>
    <t>Redevance Fibre Optique</t>
  </si>
  <si>
    <t>6260010400</t>
  </si>
  <si>
    <t>Frais Gsm Corporate</t>
  </si>
  <si>
    <t>6260010500</t>
  </si>
  <si>
    <t>Frais Gsm GPS</t>
  </si>
  <si>
    <t>6270010100</t>
  </si>
  <si>
    <t>Frais Et Commissions Bancaires</t>
  </si>
  <si>
    <t>6270010800</t>
  </si>
  <si>
    <t>Autres Frais Et Commi/ Pres De Serv</t>
  </si>
  <si>
    <t>6330010000</t>
  </si>
  <si>
    <t>Jetons De Presence</t>
  </si>
  <si>
    <t>6360010000</t>
  </si>
  <si>
    <t>Charg Nettes /Cess Dimmo</t>
  </si>
  <si>
    <t>6360010100</t>
  </si>
  <si>
    <t>Perte Sur Reglement</t>
  </si>
  <si>
    <t>6360010300</t>
  </si>
  <si>
    <t>PENALITE ET AMENDE</t>
  </si>
  <si>
    <t>6360010500</t>
  </si>
  <si>
    <t>AUTRES PERTES/LITIGES</t>
  </si>
  <si>
    <t>6400010000</t>
  </si>
  <si>
    <t>Salaires</t>
  </si>
  <si>
    <t>6400010100</t>
  </si>
  <si>
    <t>Salaires Des Personnels</t>
  </si>
  <si>
    <t>6400010130</t>
  </si>
  <si>
    <t>Indemnité De Stage</t>
  </si>
  <si>
    <t>6400010200</t>
  </si>
  <si>
    <t>Primes</t>
  </si>
  <si>
    <t>6460010200</t>
  </si>
  <si>
    <t>Conges Payes</t>
  </si>
  <si>
    <t>6460010400</t>
  </si>
  <si>
    <t>6460010500</t>
  </si>
  <si>
    <t>6470010010</t>
  </si>
  <si>
    <t>Cotisations De Secur Soc/Salai</t>
  </si>
  <si>
    <t>6470010700</t>
  </si>
  <si>
    <t>Cotisation CAVIS</t>
  </si>
  <si>
    <t>6490010000</t>
  </si>
  <si>
    <t>Charges Patronales Assurance Groupe</t>
  </si>
  <si>
    <t>6510010160</t>
  </si>
  <si>
    <t>Des Emprun Et Deyfs Assimiles</t>
  </si>
  <si>
    <t>6510010600</t>
  </si>
  <si>
    <t>Interets Banc Et/Ope De Financ</t>
  </si>
  <si>
    <t>6510010700</t>
  </si>
  <si>
    <t>Interets/Crédit De Mob. De Créances</t>
  </si>
  <si>
    <t>6510010900</t>
  </si>
  <si>
    <t>Interets D'escomptes</t>
  </si>
  <si>
    <t>6510011900</t>
  </si>
  <si>
    <t>INTERETS BANCAIRE</t>
  </si>
  <si>
    <t>6510020000</t>
  </si>
  <si>
    <t>AGIOS DEBITEURS</t>
  </si>
  <si>
    <t>6550010000</t>
  </si>
  <si>
    <t>Pertes De Change</t>
  </si>
  <si>
    <t>6550010100</t>
  </si>
  <si>
    <t>PERTES DE CHANGE NON REALISE</t>
  </si>
  <si>
    <t>6570010000</t>
  </si>
  <si>
    <t>Interets/Hannibal Lease</t>
  </si>
  <si>
    <t>6610010100</t>
  </si>
  <si>
    <t>Tfp</t>
  </si>
  <si>
    <t>6610010200</t>
  </si>
  <si>
    <t>Foprolos</t>
  </si>
  <si>
    <t>6650010100</t>
  </si>
  <si>
    <t>6650010400</t>
  </si>
  <si>
    <t>Droits  De Timbre</t>
  </si>
  <si>
    <t>6650010500</t>
  </si>
  <si>
    <t>Taxes S/Vehicules</t>
  </si>
  <si>
    <t>6650010600</t>
  </si>
  <si>
    <t>DROIT ENREGISTREMENT</t>
  </si>
  <si>
    <t>6650010800</t>
  </si>
  <si>
    <t>Autres Impots &amp; Taxes</t>
  </si>
  <si>
    <t>6650010900</t>
  </si>
  <si>
    <t>TIMBRE DE VOYAGE</t>
  </si>
  <si>
    <t>6810010120</t>
  </si>
  <si>
    <t>Dot.  MAT TRANSP A STATUT JURIDQ PA</t>
  </si>
  <si>
    <t>6810010140</t>
  </si>
  <si>
    <t>Dot.Immob Mat.&amp; Outillage</t>
  </si>
  <si>
    <t>6810010160</t>
  </si>
  <si>
    <t>Dot.Immob A.A.I</t>
  </si>
  <si>
    <t>6810010170</t>
  </si>
  <si>
    <t>Dot.Immob Mobilier &amp; Mat.Bur</t>
  </si>
  <si>
    <t>6810010180</t>
  </si>
  <si>
    <t>Dot.Immob Mat Inform</t>
  </si>
  <si>
    <t>6810010190</t>
  </si>
  <si>
    <t>DOT/PRIOVISION AUTRES ACTIFS</t>
  </si>
  <si>
    <t>6810010200</t>
  </si>
  <si>
    <t>Dot Aux Resorptions Des Charges</t>
  </si>
  <si>
    <t>6810010730</t>
  </si>
  <si>
    <t>Dot/Stocks Et En Cours</t>
  </si>
  <si>
    <t>6810010740</t>
  </si>
  <si>
    <t>Dot/Prov.Creances</t>
  </si>
  <si>
    <t>6860010500</t>
  </si>
  <si>
    <t>Dot Aux Prov Pour Risq Et Charg Fin</t>
  </si>
  <si>
    <t>6860010620</t>
  </si>
  <si>
    <t>Dot.Prov.Immobilisations Financiere</t>
  </si>
  <si>
    <t>6910010000</t>
  </si>
  <si>
    <t>Impo/ Bene Calcul/ Resul Des Act Or</t>
  </si>
  <si>
    <t>7000010100</t>
  </si>
  <si>
    <t>VENTE RECHARGE TT EXONERE</t>
  </si>
  <si>
    <t>7050010000</t>
  </si>
  <si>
    <t>Edutes Et Prestation De Serviceq</t>
  </si>
  <si>
    <t>7070010007</t>
  </si>
  <si>
    <t>Vente Marchandise 7%</t>
  </si>
  <si>
    <t>7070010019</t>
  </si>
  <si>
    <t>Vente Marchandise 19%</t>
  </si>
  <si>
    <t>7070010021</t>
  </si>
  <si>
    <t>Vente Lignes TT</t>
  </si>
  <si>
    <t>7070010022</t>
  </si>
  <si>
    <t>VENTE RECHARGE RISTOURNE</t>
  </si>
  <si>
    <t>7070010100</t>
  </si>
  <si>
    <t>Vente Exonore</t>
  </si>
  <si>
    <t>7360010000</t>
  </si>
  <si>
    <t>Prod Nets Sur Cessin Immo Au Gains</t>
  </si>
  <si>
    <t>7360010100</t>
  </si>
  <si>
    <t>Gain De Reglement</t>
  </si>
  <si>
    <t>7360010200</t>
  </si>
  <si>
    <t>PROFIL EXCEPTIONNEL</t>
  </si>
  <si>
    <t>7540010000</t>
  </si>
  <si>
    <t>Revenus/ Credits Notes</t>
  </si>
  <si>
    <t>7560010000</t>
  </si>
  <si>
    <t>Gains De Change</t>
  </si>
  <si>
    <t>7560010100</t>
  </si>
  <si>
    <t>GAINS DE CHANGES NON REALISES</t>
  </si>
  <si>
    <t>7580010000</t>
  </si>
  <si>
    <t>Produits Exceptionnels</t>
  </si>
  <si>
    <t>7680010000</t>
  </si>
  <si>
    <t>Agios Créditeurs</t>
  </si>
  <si>
    <t>7810010200</t>
  </si>
  <si>
    <t>Reprise/ provisions De Stocks</t>
  </si>
  <si>
    <t>7810010300</t>
  </si>
  <si>
    <t>Reprise/ provisions Pr Dépr.Clients</t>
  </si>
  <si>
    <t>7860010600</t>
  </si>
  <si>
    <t>Repris.Prov.Risq.&amp;Charg.Financ</t>
  </si>
  <si>
    <t>7890010200</t>
  </si>
  <si>
    <t>REP/PROV EFFET IMP</t>
  </si>
  <si>
    <t>7890010300</t>
  </si>
  <si>
    <t>Reprise/Prov Cheques Impayes</t>
  </si>
  <si>
    <t>7900010000</t>
  </si>
  <si>
    <t>Transferts De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</si>
</sst>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" fontId="1" fillId="2" borderId="1" xfId="0" applyNumberFormat="1" applyFont="1" applyFill="1" applyBorder="1" applyAlignment="1">
      <alignment horizontal="center" vertical="top"/>
    </xf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297" workbookViewId="0">
      <selection activeCell="B322" sqref="B322"/>
    </sheetView>
  </sheetViews>
  <sheetFormatPr baseColWidth="10" defaultColWidth="9.109375" defaultRowHeight="14.4" x14ac:dyDescent="0.3"/>
  <cols>
    <col min="1" max="1" width="25" style="2" customWidth="1"/>
    <col min="2" max="2" width="34.109375" style="2" bestFit="1" customWidth="1"/>
    <col min="3" max="4" width="25" style="4" customWidth="1"/>
    <col min="5" max="5" width="12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5" x14ac:dyDescent="0.3">
      <c r="A2" s="2" t="s">
        <v>4</v>
      </c>
      <c r="B2" s="2" t="s">
        <v>5</v>
      </c>
      <c r="C2" s="4">
        <v>-4461532</v>
      </c>
      <c r="D2" s="4">
        <v>-4461532</v>
      </c>
      <c r="E2" s="5">
        <f>+D2-C2</f>
        <v>0</v>
      </c>
    </row>
    <row r="3" spans="1:5" x14ac:dyDescent="0.3">
      <c r="A3" s="2" t="s">
        <v>6</v>
      </c>
      <c r="B3" s="2" t="s">
        <v>7</v>
      </c>
      <c r="C3" s="4">
        <v>-826889.80299999996</v>
      </c>
      <c r="D3" s="4">
        <v>-826889.80299999996</v>
      </c>
      <c r="E3" s="5">
        <f t="shared" ref="E3:E66" si="0">+D3-C3</f>
        <v>0</v>
      </c>
    </row>
    <row r="4" spans="1:5" x14ac:dyDescent="0.3">
      <c r="A4" s="2" t="s">
        <v>8</v>
      </c>
      <c r="B4" s="2" t="s">
        <v>9</v>
      </c>
      <c r="C4" s="4">
        <v>-5581416</v>
      </c>
      <c r="D4" s="4">
        <v>-5581416</v>
      </c>
      <c r="E4" s="5">
        <f t="shared" si="0"/>
        <v>0</v>
      </c>
    </row>
    <row r="5" spans="1:5" x14ac:dyDescent="0.3">
      <c r="A5" s="2" t="s">
        <v>10</v>
      </c>
      <c r="B5" s="2" t="s">
        <v>11</v>
      </c>
      <c r="C5" s="4">
        <v>-150000.003</v>
      </c>
      <c r="D5" s="4">
        <v>-150000.003</v>
      </c>
      <c r="E5" s="5">
        <f t="shared" si="0"/>
        <v>0</v>
      </c>
    </row>
    <row r="6" spans="1:5" x14ac:dyDescent="0.3">
      <c r="A6" s="2" t="s">
        <v>12</v>
      </c>
      <c r="B6" s="2" t="s">
        <v>13</v>
      </c>
      <c r="C6" s="4">
        <v>145911.65299999999</v>
      </c>
      <c r="D6" s="4">
        <v>145911.65299999999</v>
      </c>
      <c r="E6" s="5">
        <f t="shared" si="0"/>
        <v>0</v>
      </c>
    </row>
    <row r="7" spans="1:5" x14ac:dyDescent="0.3">
      <c r="A7" s="2" t="s">
        <v>14</v>
      </c>
      <c r="B7" s="2" t="s">
        <v>15</v>
      </c>
      <c r="C7" s="4">
        <v>-2577041.1910000001</v>
      </c>
      <c r="D7" s="4">
        <v>-4280293.2309999997</v>
      </c>
      <c r="E7" s="5">
        <f t="shared" si="0"/>
        <v>-1703252.0399999996</v>
      </c>
    </row>
    <row r="8" spans="1:5" x14ac:dyDescent="0.3">
      <c r="A8" s="2" t="s">
        <v>16</v>
      </c>
      <c r="B8" s="2" t="s">
        <v>17</v>
      </c>
      <c r="C8" s="4">
        <v>0</v>
      </c>
      <c r="D8" s="4">
        <v>1061668</v>
      </c>
      <c r="E8" s="5">
        <f t="shared" si="0"/>
        <v>1061668</v>
      </c>
    </row>
    <row r="9" spans="1:5" x14ac:dyDescent="0.3">
      <c r="A9" s="2" t="s">
        <v>18</v>
      </c>
      <c r="B9" s="2" t="s">
        <v>19</v>
      </c>
      <c r="C9" s="4">
        <v>-1478540.075</v>
      </c>
      <c r="D9" s="4">
        <v>-626914.07499999995</v>
      </c>
      <c r="E9" s="5">
        <f t="shared" si="0"/>
        <v>851626</v>
      </c>
    </row>
    <row r="10" spans="1:5" x14ac:dyDescent="0.3">
      <c r="A10" s="2" t="s">
        <v>20</v>
      </c>
      <c r="B10" s="2" t="s">
        <v>21</v>
      </c>
      <c r="C10" s="4">
        <v>9119495.6559999995</v>
      </c>
      <c r="D10" s="4">
        <v>9119495.6559999995</v>
      </c>
      <c r="E10" s="5">
        <f t="shared" si="0"/>
        <v>0</v>
      </c>
    </row>
    <row r="11" spans="1:5" x14ac:dyDescent="0.3">
      <c r="A11" s="2" t="s">
        <v>22</v>
      </c>
      <c r="B11" s="2" t="s">
        <v>23</v>
      </c>
      <c r="C11" s="4">
        <v>-394275.19699999999</v>
      </c>
      <c r="D11" s="4">
        <v>-400564.94799999997</v>
      </c>
      <c r="E11" s="5">
        <f t="shared" si="0"/>
        <v>-6289.7509999999893</v>
      </c>
    </row>
    <row r="12" spans="1:5" x14ac:dyDescent="0.3">
      <c r="A12" s="2" t="s">
        <v>24</v>
      </c>
      <c r="B12" s="2" t="s">
        <v>25</v>
      </c>
      <c r="C12" s="4">
        <v>-14244.77</v>
      </c>
      <c r="D12" s="4">
        <v>-81895.460000000006</v>
      </c>
      <c r="E12" s="5">
        <f t="shared" si="0"/>
        <v>-67650.69</v>
      </c>
    </row>
    <row r="13" spans="1:5" x14ac:dyDescent="0.3">
      <c r="A13" s="2" t="s">
        <v>26</v>
      </c>
      <c r="B13" s="2" t="s">
        <v>27</v>
      </c>
      <c r="C13" s="4">
        <v>0</v>
      </c>
      <c r="D13" s="4">
        <v>-101734.586</v>
      </c>
      <c r="E13" s="5">
        <f t="shared" si="0"/>
        <v>-101734.586</v>
      </c>
    </row>
    <row r="14" spans="1:5" x14ac:dyDescent="0.3">
      <c r="A14" s="2" t="s">
        <v>28</v>
      </c>
      <c r="B14" s="2" t="s">
        <v>29</v>
      </c>
      <c r="C14" s="4">
        <v>-32253.793000000001</v>
      </c>
      <c r="D14" s="4">
        <v>-16482.627</v>
      </c>
      <c r="E14" s="5">
        <f t="shared" si="0"/>
        <v>15771.166000000001</v>
      </c>
    </row>
    <row r="15" spans="1:5" x14ac:dyDescent="0.3">
      <c r="A15" s="2" t="s">
        <v>30</v>
      </c>
      <c r="B15" s="2" t="s">
        <v>31</v>
      </c>
      <c r="C15" s="4">
        <v>0</v>
      </c>
      <c r="D15" s="4">
        <v>0</v>
      </c>
      <c r="E15" s="5">
        <f t="shared" si="0"/>
        <v>0</v>
      </c>
    </row>
    <row r="16" spans="1:5" x14ac:dyDescent="0.3">
      <c r="A16" s="2" t="s">
        <v>32</v>
      </c>
      <c r="B16" s="2" t="s">
        <v>33</v>
      </c>
      <c r="C16" s="4">
        <v>-64613.561999999998</v>
      </c>
      <c r="D16" s="4">
        <v>-34658.917999999998</v>
      </c>
      <c r="E16" s="5">
        <f t="shared" si="0"/>
        <v>29954.644</v>
      </c>
    </row>
    <row r="17" spans="1:5" x14ac:dyDescent="0.3">
      <c r="A17" s="2" t="s">
        <v>34</v>
      </c>
      <c r="B17" s="2" t="s">
        <v>35</v>
      </c>
      <c r="C17" s="4">
        <v>-181749.75399999999</v>
      </c>
      <c r="D17" s="4">
        <v>-112936.351</v>
      </c>
      <c r="E17" s="5">
        <f t="shared" si="0"/>
        <v>68813.402999999991</v>
      </c>
    </row>
    <row r="18" spans="1:5" x14ac:dyDescent="0.3">
      <c r="A18" s="2" t="s">
        <v>36</v>
      </c>
      <c r="B18" s="2" t="s">
        <v>37</v>
      </c>
      <c r="C18" s="4">
        <v>0</v>
      </c>
      <c r="D18" s="4">
        <v>-44120.671000000002</v>
      </c>
      <c r="E18" s="5">
        <f t="shared" si="0"/>
        <v>-44120.671000000002</v>
      </c>
    </row>
    <row r="19" spans="1:5" x14ac:dyDescent="0.3">
      <c r="A19" s="2" t="s">
        <v>38</v>
      </c>
      <c r="B19" s="2" t="s">
        <v>39</v>
      </c>
      <c r="C19" s="4">
        <v>0</v>
      </c>
      <c r="D19" s="4">
        <v>-48013.589</v>
      </c>
      <c r="E19" s="5">
        <f t="shared" si="0"/>
        <v>-48013.589</v>
      </c>
    </row>
    <row r="20" spans="1:5" x14ac:dyDescent="0.3">
      <c r="A20" s="2" t="s">
        <v>40</v>
      </c>
      <c r="B20" s="2" t="s">
        <v>41</v>
      </c>
      <c r="C20" s="4">
        <v>366273.875</v>
      </c>
      <c r="D20" s="4">
        <v>366273.875</v>
      </c>
      <c r="E20" s="5">
        <f t="shared" si="0"/>
        <v>0</v>
      </c>
    </row>
    <row r="21" spans="1:5" x14ac:dyDescent="0.3">
      <c r="A21" s="2" t="s">
        <v>42</v>
      </c>
      <c r="B21" s="2" t="s">
        <v>43</v>
      </c>
      <c r="C21" s="4">
        <v>146063.90400000001</v>
      </c>
      <c r="D21" s="4">
        <v>146063.90400000001</v>
      </c>
      <c r="E21" s="5">
        <f t="shared" si="0"/>
        <v>0</v>
      </c>
    </row>
    <row r="22" spans="1:5" x14ac:dyDescent="0.3">
      <c r="A22" s="2" t="s">
        <v>44</v>
      </c>
      <c r="B22" s="2" t="s">
        <v>45</v>
      </c>
      <c r="C22" s="4">
        <v>21.5</v>
      </c>
      <c r="D22" s="4">
        <v>22.5</v>
      </c>
      <c r="E22" s="5">
        <f t="shared" si="0"/>
        <v>1</v>
      </c>
    </row>
    <row r="23" spans="1:5" x14ac:dyDescent="0.3">
      <c r="A23" s="2" t="s">
        <v>46</v>
      </c>
      <c r="B23" s="2" t="s">
        <v>47</v>
      </c>
      <c r="C23" s="4">
        <v>1163443.835</v>
      </c>
      <c r="D23" s="4">
        <v>1163443.835</v>
      </c>
      <c r="E23" s="5">
        <f t="shared" si="0"/>
        <v>0</v>
      </c>
    </row>
    <row r="24" spans="1:5" x14ac:dyDescent="0.3">
      <c r="A24" s="2" t="s">
        <v>48</v>
      </c>
      <c r="B24" s="2" t="s">
        <v>49</v>
      </c>
      <c r="C24" s="4">
        <v>191415.02600000001</v>
      </c>
      <c r="D24" s="4">
        <v>194104.261</v>
      </c>
      <c r="E24" s="5">
        <f t="shared" si="0"/>
        <v>2689.234999999986</v>
      </c>
    </row>
    <row r="25" spans="1:5" x14ac:dyDescent="0.3">
      <c r="A25" s="2" t="s">
        <v>50</v>
      </c>
      <c r="B25" s="2" t="s">
        <v>51</v>
      </c>
      <c r="C25" s="4">
        <v>413172.70699999999</v>
      </c>
      <c r="D25" s="4">
        <v>420156.02500000002</v>
      </c>
      <c r="E25" s="5">
        <f t="shared" si="0"/>
        <v>6983.3180000000284</v>
      </c>
    </row>
    <row r="26" spans="1:5" x14ac:dyDescent="0.3">
      <c r="A26" s="2" t="s">
        <v>52</v>
      </c>
      <c r="B26" s="2" t="s">
        <v>53</v>
      </c>
      <c r="C26" s="4">
        <v>0</v>
      </c>
      <c r="D26" s="4">
        <v>150653.46400000001</v>
      </c>
      <c r="E26" s="5">
        <f t="shared" si="0"/>
        <v>150653.46400000001</v>
      </c>
    </row>
    <row r="27" spans="1:5" x14ac:dyDescent="0.3">
      <c r="A27" s="2" t="s">
        <v>54</v>
      </c>
      <c r="B27" s="2" t="s">
        <v>55</v>
      </c>
      <c r="C27" s="4">
        <v>22000</v>
      </c>
      <c r="D27" s="4">
        <v>22000</v>
      </c>
      <c r="E27" s="5">
        <f t="shared" si="0"/>
        <v>0</v>
      </c>
    </row>
    <row r="28" spans="1:5" x14ac:dyDescent="0.3">
      <c r="A28" s="2" t="s">
        <v>56</v>
      </c>
      <c r="B28" s="2" t="s">
        <v>57</v>
      </c>
      <c r="C28" s="4">
        <v>1547380.5220000001</v>
      </c>
      <c r="D28" s="4">
        <v>1658380.8359999999</v>
      </c>
      <c r="E28" s="5">
        <f t="shared" si="0"/>
        <v>111000.31399999978</v>
      </c>
    </row>
    <row r="29" spans="1:5" x14ac:dyDescent="0.3">
      <c r="A29" s="2" t="s">
        <v>58</v>
      </c>
      <c r="B29" s="2" t="s">
        <v>59</v>
      </c>
      <c r="C29" s="4">
        <v>1823994</v>
      </c>
      <c r="D29" s="4">
        <v>1823994</v>
      </c>
      <c r="E29" s="5">
        <f t="shared" si="0"/>
        <v>0</v>
      </c>
    </row>
    <row r="30" spans="1:5" x14ac:dyDescent="0.3">
      <c r="A30" s="2" t="s">
        <v>60</v>
      </c>
      <c r="B30" s="2" t="s">
        <v>61</v>
      </c>
      <c r="C30" s="4">
        <v>150000</v>
      </c>
      <c r="D30" s="4">
        <v>150000</v>
      </c>
      <c r="E30" s="5">
        <f t="shared" si="0"/>
        <v>0</v>
      </c>
    </row>
    <row r="31" spans="1:5" x14ac:dyDescent="0.3">
      <c r="A31" s="2" t="s">
        <v>62</v>
      </c>
      <c r="B31" s="2" t="s">
        <v>63</v>
      </c>
      <c r="C31" s="4">
        <v>316492.26299999998</v>
      </c>
      <c r="D31" s="4">
        <v>316492.26299999998</v>
      </c>
      <c r="E31" s="5">
        <f t="shared" si="0"/>
        <v>0</v>
      </c>
    </row>
    <row r="32" spans="1:5" x14ac:dyDescent="0.3">
      <c r="A32" s="2" t="s">
        <v>64</v>
      </c>
      <c r="B32" s="2" t="s">
        <v>65</v>
      </c>
      <c r="C32" s="4">
        <v>-366273.87599999999</v>
      </c>
      <c r="D32" s="4">
        <v>-366273.87599999999</v>
      </c>
      <c r="E32" s="5">
        <f t="shared" si="0"/>
        <v>0</v>
      </c>
    </row>
    <row r="33" spans="1:5" x14ac:dyDescent="0.3">
      <c r="A33" s="2" t="s">
        <v>66</v>
      </c>
      <c r="B33" s="2" t="s">
        <v>67</v>
      </c>
      <c r="C33" s="4">
        <v>-144020.304</v>
      </c>
      <c r="D33" s="4">
        <v>-145006.372</v>
      </c>
      <c r="E33" s="5">
        <f t="shared" si="0"/>
        <v>-986.0679999999993</v>
      </c>
    </row>
    <row r="34" spans="1:5" x14ac:dyDescent="0.3">
      <c r="A34" s="2" t="s">
        <v>68</v>
      </c>
      <c r="B34" s="2" t="s">
        <v>69</v>
      </c>
      <c r="C34" s="4">
        <v>-21.5</v>
      </c>
      <c r="D34" s="4">
        <v>-22.5</v>
      </c>
      <c r="E34" s="5">
        <f t="shared" si="0"/>
        <v>-1</v>
      </c>
    </row>
    <row r="35" spans="1:5" x14ac:dyDescent="0.3">
      <c r="A35" s="2" t="s">
        <v>70</v>
      </c>
      <c r="B35" s="2" t="s">
        <v>71</v>
      </c>
      <c r="C35" s="4">
        <v>-1278485.4450000001</v>
      </c>
      <c r="D35" s="4">
        <v>-1343528.1950000001</v>
      </c>
      <c r="E35" s="5">
        <f t="shared" si="0"/>
        <v>-65042.75</v>
      </c>
    </row>
    <row r="36" spans="1:5" x14ac:dyDescent="0.3">
      <c r="A36" s="2" t="s">
        <v>72</v>
      </c>
      <c r="B36" s="2" t="s">
        <v>73</v>
      </c>
      <c r="C36" s="4">
        <v>-1089105.5519999999</v>
      </c>
      <c r="D36" s="4">
        <v>-1118165.19</v>
      </c>
      <c r="E36" s="5">
        <f t="shared" si="0"/>
        <v>-29059.638000000035</v>
      </c>
    </row>
    <row r="37" spans="1:5" x14ac:dyDescent="0.3">
      <c r="A37" s="2" t="s">
        <v>74</v>
      </c>
      <c r="B37" s="2" t="s">
        <v>75</v>
      </c>
      <c r="C37" s="4">
        <v>-179524.77900000001</v>
      </c>
      <c r="D37" s="4">
        <v>-182988.28700000001</v>
      </c>
      <c r="E37" s="5">
        <f t="shared" si="0"/>
        <v>-3463.5080000000016</v>
      </c>
    </row>
    <row r="38" spans="1:5" x14ac:dyDescent="0.3">
      <c r="A38" s="2" t="s">
        <v>76</v>
      </c>
      <c r="B38" s="2" t="s">
        <v>77</v>
      </c>
      <c r="C38" s="4">
        <v>-392383.68800000002</v>
      </c>
      <c r="D38" s="4">
        <v>-406392.84</v>
      </c>
      <c r="E38" s="5">
        <f t="shared" si="0"/>
        <v>-14009.152000000002</v>
      </c>
    </row>
    <row r="39" spans="1:5" x14ac:dyDescent="0.3">
      <c r="A39" s="2" t="s">
        <v>78</v>
      </c>
      <c r="B39" s="2" t="s">
        <v>79</v>
      </c>
      <c r="C39" s="4">
        <v>-22000</v>
      </c>
      <c r="D39" s="4">
        <v>-22000</v>
      </c>
      <c r="E39" s="5">
        <f t="shared" si="0"/>
        <v>0</v>
      </c>
    </row>
    <row r="40" spans="1:5" x14ac:dyDescent="0.3">
      <c r="A40" s="2" t="s">
        <v>80</v>
      </c>
      <c r="B40" s="2" t="s">
        <v>81</v>
      </c>
      <c r="C40" s="4">
        <v>-381732.261</v>
      </c>
      <c r="D40" s="4">
        <v>-611732.26100000006</v>
      </c>
      <c r="E40" s="5">
        <f t="shared" si="0"/>
        <v>-230000.00000000006</v>
      </c>
    </row>
    <row r="41" spans="1:5" x14ac:dyDescent="0.3">
      <c r="A41" s="2" t="s">
        <v>82</v>
      </c>
      <c r="B41" s="2" t="s">
        <v>83</v>
      </c>
      <c r="C41" s="4">
        <v>8643175.4680000003</v>
      </c>
      <c r="D41" s="4">
        <v>8725811.3379999995</v>
      </c>
      <c r="E41" s="5">
        <f t="shared" si="0"/>
        <v>82635.86999999918</v>
      </c>
    </row>
    <row r="42" spans="1:5" x14ac:dyDescent="0.3">
      <c r="A42" s="2" t="s">
        <v>84</v>
      </c>
      <c r="B42" s="2" t="s">
        <v>85</v>
      </c>
      <c r="C42" s="4">
        <v>0</v>
      </c>
      <c r="D42" s="4">
        <v>1725013.81</v>
      </c>
      <c r="E42" s="5">
        <f t="shared" si="0"/>
        <v>1725013.81</v>
      </c>
    </row>
    <row r="43" spans="1:5" x14ac:dyDescent="0.3">
      <c r="A43" s="2" t="s">
        <v>86</v>
      </c>
      <c r="B43" s="2" t="s">
        <v>87</v>
      </c>
      <c r="C43" s="4">
        <v>-2359623.2710000002</v>
      </c>
      <c r="D43" s="4">
        <v>-2468734.4759999998</v>
      </c>
      <c r="E43" s="5">
        <f t="shared" si="0"/>
        <v>-109111.20499999961</v>
      </c>
    </row>
    <row r="44" spans="1:5" x14ac:dyDescent="0.3">
      <c r="A44" s="2" t="s">
        <v>88</v>
      </c>
      <c r="B44" s="2" t="s">
        <v>89</v>
      </c>
      <c r="C44" s="4">
        <v>-1206596.233</v>
      </c>
      <c r="D44" s="4">
        <v>-1534736.9750000001</v>
      </c>
      <c r="E44" s="5">
        <f t="shared" si="0"/>
        <v>-328140.74200000009</v>
      </c>
    </row>
    <row r="45" spans="1:5" x14ac:dyDescent="0.3">
      <c r="A45" s="2" t="s">
        <v>90</v>
      </c>
      <c r="B45" s="2" t="s">
        <v>91</v>
      </c>
      <c r="C45" s="4">
        <v>-10157364.789999999</v>
      </c>
      <c r="D45" s="4">
        <v>-4622366.8969999999</v>
      </c>
      <c r="E45" s="5">
        <f t="shared" si="0"/>
        <v>5534997.8929999992</v>
      </c>
    </row>
    <row r="46" spans="1:5" x14ac:dyDescent="0.3">
      <c r="A46" s="2" t="s">
        <v>92</v>
      </c>
      <c r="B46" s="2" t="s">
        <v>91</v>
      </c>
      <c r="C46" s="4">
        <v>-2977</v>
      </c>
      <c r="D46" s="4">
        <v>0</v>
      </c>
      <c r="E46" s="5">
        <f t="shared" si="0"/>
        <v>2977</v>
      </c>
    </row>
    <row r="47" spans="1:5" x14ac:dyDescent="0.3">
      <c r="A47" s="2" t="s">
        <v>93</v>
      </c>
      <c r="B47" s="2" t="s">
        <v>94</v>
      </c>
      <c r="C47" s="4">
        <v>1244.777</v>
      </c>
      <c r="D47" s="4">
        <v>1244.777</v>
      </c>
      <c r="E47" s="5">
        <f t="shared" si="0"/>
        <v>0</v>
      </c>
    </row>
    <row r="48" spans="1:5" x14ac:dyDescent="0.3">
      <c r="A48" s="2" t="s">
        <v>95</v>
      </c>
      <c r="B48" s="2" t="s">
        <v>96</v>
      </c>
      <c r="C48" s="4">
        <v>3072.4720000000002</v>
      </c>
      <c r="D48" s="4">
        <v>-1721941.338</v>
      </c>
      <c r="E48" s="5">
        <f t="shared" si="0"/>
        <v>-1725013.81</v>
      </c>
    </row>
    <row r="49" spans="1:5" x14ac:dyDescent="0.3">
      <c r="A49" s="2" t="s">
        <v>97</v>
      </c>
      <c r="B49" s="2" t="s">
        <v>98</v>
      </c>
      <c r="C49" s="4">
        <v>128.71299999999999</v>
      </c>
      <c r="D49" s="4">
        <v>75196.489000000001</v>
      </c>
      <c r="E49" s="5">
        <f t="shared" si="0"/>
        <v>75067.775999999998</v>
      </c>
    </row>
    <row r="50" spans="1:5" x14ac:dyDescent="0.3">
      <c r="A50" s="2" t="s">
        <v>99</v>
      </c>
      <c r="B50" s="2" t="s">
        <v>100</v>
      </c>
      <c r="C50" s="4">
        <v>8838039.5480000004</v>
      </c>
      <c r="D50" s="4">
        <v>9725931.3660000004</v>
      </c>
      <c r="E50" s="5">
        <f t="shared" si="0"/>
        <v>887891.81799999997</v>
      </c>
    </row>
    <row r="51" spans="1:5" x14ac:dyDescent="0.3">
      <c r="A51" s="2" t="s">
        <v>101</v>
      </c>
      <c r="B51" s="2" t="s">
        <v>102</v>
      </c>
      <c r="C51" s="4">
        <v>-7706.3190000000004</v>
      </c>
      <c r="D51" s="4">
        <v>0</v>
      </c>
      <c r="E51" s="5">
        <f t="shared" si="0"/>
        <v>7706.3190000000004</v>
      </c>
    </row>
    <row r="52" spans="1:5" x14ac:dyDescent="0.3">
      <c r="A52" s="2" t="s">
        <v>103</v>
      </c>
      <c r="B52" s="2" t="s">
        <v>104</v>
      </c>
      <c r="C52" s="4">
        <v>-267204.842</v>
      </c>
      <c r="D52" s="4">
        <v>-235412.29300000001</v>
      </c>
      <c r="E52" s="5">
        <f t="shared" si="0"/>
        <v>31792.548999999999</v>
      </c>
    </row>
    <row r="53" spans="1:5" x14ac:dyDescent="0.3">
      <c r="A53" s="2" t="s">
        <v>105</v>
      </c>
      <c r="B53" s="2" t="s">
        <v>106</v>
      </c>
      <c r="C53" s="4">
        <v>164092.63699999999</v>
      </c>
      <c r="D53" s="4">
        <v>83077.349000000002</v>
      </c>
      <c r="E53" s="5">
        <f t="shared" si="0"/>
        <v>-81015.287999999986</v>
      </c>
    </row>
    <row r="54" spans="1:5" x14ac:dyDescent="0.3">
      <c r="A54" s="2" t="s">
        <v>107</v>
      </c>
      <c r="B54" s="2" t="s">
        <v>108</v>
      </c>
      <c r="C54" s="4">
        <v>2323263.6150000002</v>
      </c>
      <c r="D54" s="4">
        <v>2117645.3879999998</v>
      </c>
      <c r="E54" s="5">
        <f t="shared" si="0"/>
        <v>-205618.22700000042</v>
      </c>
    </row>
    <row r="55" spans="1:5" x14ac:dyDescent="0.3">
      <c r="A55" s="2" t="s">
        <v>109</v>
      </c>
      <c r="B55" s="2" t="s">
        <v>110</v>
      </c>
      <c r="C55" s="4">
        <v>-233413.05499999999</v>
      </c>
      <c r="D55" s="4">
        <v>0</v>
      </c>
      <c r="E55" s="5">
        <f t="shared" si="0"/>
        <v>233413.05499999999</v>
      </c>
    </row>
    <row r="56" spans="1:5" x14ac:dyDescent="0.3">
      <c r="A56" s="2" t="s">
        <v>111</v>
      </c>
      <c r="B56" s="2" t="s">
        <v>112</v>
      </c>
      <c r="C56" s="4">
        <v>2645399.236</v>
      </c>
      <c r="D56" s="4">
        <v>2904697.6979999999</v>
      </c>
      <c r="E56" s="5">
        <f t="shared" si="0"/>
        <v>259298.46199999982</v>
      </c>
    </row>
    <row r="57" spans="1:5" x14ac:dyDescent="0.3">
      <c r="A57" s="2" t="s">
        <v>113</v>
      </c>
      <c r="B57" s="2" t="s">
        <v>114</v>
      </c>
      <c r="C57" s="4">
        <v>3342688.72</v>
      </c>
      <c r="D57" s="4">
        <v>3254448.1090000002</v>
      </c>
      <c r="E57" s="5">
        <f t="shared" si="0"/>
        <v>-88240.611000000034</v>
      </c>
    </row>
    <row r="58" spans="1:5" x14ac:dyDescent="0.3">
      <c r="A58" s="2" t="s">
        <v>115</v>
      </c>
      <c r="B58" s="2" t="s">
        <v>116</v>
      </c>
      <c r="C58" s="4">
        <v>1837682.0989999999</v>
      </c>
      <c r="D58" s="4">
        <v>2492180.5079999999</v>
      </c>
      <c r="E58" s="5">
        <f t="shared" si="0"/>
        <v>654498.40899999999</v>
      </c>
    </row>
    <row r="59" spans="1:5" x14ac:dyDescent="0.3">
      <c r="A59" s="2" t="s">
        <v>117</v>
      </c>
      <c r="B59" s="2" t="s">
        <v>118</v>
      </c>
      <c r="C59" s="4">
        <v>1232954.389</v>
      </c>
      <c r="D59" s="4">
        <v>1603234.5490000001</v>
      </c>
      <c r="E59" s="5">
        <f t="shared" si="0"/>
        <v>370280.16000000015</v>
      </c>
    </row>
    <row r="60" spans="1:5" x14ac:dyDescent="0.3">
      <c r="A60" s="2" t="s">
        <v>119</v>
      </c>
      <c r="B60" s="2" t="s">
        <v>120</v>
      </c>
      <c r="C60" s="4">
        <v>-3463</v>
      </c>
      <c r="D60" s="4">
        <v>-3463</v>
      </c>
      <c r="E60" s="5">
        <f t="shared" si="0"/>
        <v>0</v>
      </c>
    </row>
    <row r="61" spans="1:5" x14ac:dyDescent="0.3">
      <c r="A61" s="2" t="s">
        <v>121</v>
      </c>
      <c r="B61" s="2" t="s">
        <v>122</v>
      </c>
      <c r="C61" s="4">
        <v>-7408.75</v>
      </c>
      <c r="D61" s="4">
        <v>-7408.75</v>
      </c>
      <c r="E61" s="5">
        <f t="shared" si="0"/>
        <v>0</v>
      </c>
    </row>
    <row r="62" spans="1:5" x14ac:dyDescent="0.3">
      <c r="A62" s="2" t="s">
        <v>123</v>
      </c>
      <c r="B62" s="2" t="s">
        <v>124</v>
      </c>
      <c r="C62" s="4">
        <v>310.36900000000003</v>
      </c>
      <c r="D62" s="4">
        <v>5128.5450000000001</v>
      </c>
      <c r="E62" s="5">
        <f t="shared" si="0"/>
        <v>4818.1760000000004</v>
      </c>
    </row>
    <row r="63" spans="1:5" x14ac:dyDescent="0.3">
      <c r="A63" s="2" t="s">
        <v>125</v>
      </c>
      <c r="B63" s="2" t="s">
        <v>126</v>
      </c>
      <c r="C63" s="4">
        <v>17207.448</v>
      </c>
      <c r="D63" s="4">
        <v>35691.512000000002</v>
      </c>
      <c r="E63" s="5">
        <f t="shared" si="0"/>
        <v>18484.064000000002</v>
      </c>
    </row>
    <row r="64" spans="1:5" x14ac:dyDescent="0.3">
      <c r="A64" s="2" t="s">
        <v>127</v>
      </c>
      <c r="B64" s="2" t="s">
        <v>128</v>
      </c>
      <c r="C64" s="4">
        <v>-13901.72</v>
      </c>
      <c r="D64" s="4">
        <v>-13901.72</v>
      </c>
      <c r="E64" s="5">
        <f t="shared" si="0"/>
        <v>0</v>
      </c>
    </row>
    <row r="65" spans="1:5" x14ac:dyDescent="0.3">
      <c r="A65" s="2" t="s">
        <v>129</v>
      </c>
      <c r="B65" s="2" t="s">
        <v>130</v>
      </c>
      <c r="C65" s="4">
        <v>-91560.588000000003</v>
      </c>
      <c r="D65" s="4">
        <v>-113677.375</v>
      </c>
      <c r="E65" s="5">
        <f t="shared" si="0"/>
        <v>-22116.786999999997</v>
      </c>
    </row>
    <row r="66" spans="1:5" x14ac:dyDescent="0.3">
      <c r="A66" s="2" t="s">
        <v>131</v>
      </c>
      <c r="B66" s="2" t="s">
        <v>132</v>
      </c>
      <c r="C66" s="4">
        <v>0</v>
      </c>
      <c r="D66" s="4">
        <v>0</v>
      </c>
      <c r="E66" s="5">
        <f t="shared" si="0"/>
        <v>0</v>
      </c>
    </row>
    <row r="67" spans="1:5" x14ac:dyDescent="0.3">
      <c r="A67" s="2" t="s">
        <v>133</v>
      </c>
      <c r="B67" s="2" t="s">
        <v>134</v>
      </c>
      <c r="C67" s="4">
        <v>0</v>
      </c>
      <c r="D67" s="4">
        <v>-1E-3</v>
      </c>
      <c r="E67" s="5">
        <f t="shared" ref="E67:E130" si="1">+D67-C67</f>
        <v>-1E-3</v>
      </c>
    </row>
    <row r="68" spans="1:5" x14ac:dyDescent="0.3">
      <c r="A68" s="2" t="s">
        <v>135</v>
      </c>
      <c r="B68" s="2" t="s">
        <v>136</v>
      </c>
      <c r="C68" s="4">
        <v>0</v>
      </c>
      <c r="D68" s="4">
        <v>0</v>
      </c>
      <c r="E68" s="5">
        <f t="shared" si="1"/>
        <v>0</v>
      </c>
    </row>
    <row r="69" spans="1:5" x14ac:dyDescent="0.3">
      <c r="A69" s="2" t="s">
        <v>137</v>
      </c>
      <c r="B69" s="2" t="s">
        <v>138</v>
      </c>
      <c r="C69" s="4">
        <v>0</v>
      </c>
      <c r="D69" s="4">
        <v>0</v>
      </c>
      <c r="E69" s="5">
        <f t="shared" si="1"/>
        <v>0</v>
      </c>
    </row>
    <row r="70" spans="1:5" x14ac:dyDescent="0.3">
      <c r="A70" s="2" t="s">
        <v>139</v>
      </c>
      <c r="B70" s="2" t="s">
        <v>140</v>
      </c>
      <c r="C70" s="4">
        <v>0</v>
      </c>
      <c r="D70" s="4">
        <v>0</v>
      </c>
      <c r="E70" s="5">
        <f t="shared" si="1"/>
        <v>0</v>
      </c>
    </row>
    <row r="71" spans="1:5" x14ac:dyDescent="0.3">
      <c r="A71" s="2" t="s">
        <v>141</v>
      </c>
      <c r="B71" s="2" t="s">
        <v>142</v>
      </c>
      <c r="C71" s="4">
        <v>0</v>
      </c>
      <c r="D71" s="4">
        <v>0</v>
      </c>
      <c r="E71" s="5">
        <f t="shared" si="1"/>
        <v>0</v>
      </c>
    </row>
    <row r="72" spans="1:5" x14ac:dyDescent="0.3">
      <c r="A72" s="2" t="s">
        <v>143</v>
      </c>
      <c r="B72" s="2" t="s">
        <v>144</v>
      </c>
      <c r="C72" s="4">
        <v>8221.7009999999991</v>
      </c>
      <c r="D72" s="4">
        <v>8221.7009999999991</v>
      </c>
      <c r="E72" s="5">
        <f t="shared" si="1"/>
        <v>0</v>
      </c>
    </row>
    <row r="73" spans="1:5" x14ac:dyDescent="0.3">
      <c r="A73" s="2" t="s">
        <v>145</v>
      </c>
      <c r="B73" s="2" t="s">
        <v>146</v>
      </c>
      <c r="C73" s="4">
        <v>0</v>
      </c>
      <c r="D73" s="4">
        <v>0</v>
      </c>
      <c r="E73" s="5">
        <f t="shared" si="1"/>
        <v>0</v>
      </c>
    </row>
    <row r="74" spans="1:5" x14ac:dyDescent="0.3">
      <c r="A74" s="2" t="s">
        <v>147</v>
      </c>
      <c r="B74" s="2" t="s">
        <v>148</v>
      </c>
      <c r="C74" s="4">
        <v>672014.495</v>
      </c>
      <c r="D74" s="4">
        <v>1615.27</v>
      </c>
      <c r="E74" s="5">
        <f t="shared" si="1"/>
        <v>-670399.22499999998</v>
      </c>
    </row>
    <row r="75" spans="1:5" x14ac:dyDescent="0.3">
      <c r="A75" s="2" t="s">
        <v>149</v>
      </c>
      <c r="B75" s="2" t="s">
        <v>150</v>
      </c>
      <c r="C75" s="4">
        <v>0</v>
      </c>
      <c r="D75" s="4">
        <v>34875.387999999999</v>
      </c>
      <c r="E75" s="5">
        <f t="shared" si="1"/>
        <v>34875.387999999999</v>
      </c>
    </row>
    <row r="76" spans="1:5" x14ac:dyDescent="0.3">
      <c r="A76" s="2" t="s">
        <v>151</v>
      </c>
      <c r="B76" s="2" t="s">
        <v>152</v>
      </c>
      <c r="C76" s="4">
        <v>0</v>
      </c>
      <c r="D76" s="4">
        <v>-405079.815</v>
      </c>
      <c r="E76" s="5">
        <f t="shared" si="1"/>
        <v>-405079.815</v>
      </c>
    </row>
    <row r="77" spans="1:5" x14ac:dyDescent="0.3">
      <c r="A77" s="2" t="s">
        <v>153</v>
      </c>
      <c r="B77" s="2" t="s">
        <v>154</v>
      </c>
      <c r="C77" s="4">
        <v>0</v>
      </c>
      <c r="D77" s="4">
        <v>-48045.610999999997</v>
      </c>
      <c r="E77" s="5">
        <f t="shared" si="1"/>
        <v>-48045.610999999997</v>
      </c>
    </row>
    <row r="78" spans="1:5" x14ac:dyDescent="0.3">
      <c r="A78" s="2" t="s">
        <v>155</v>
      </c>
      <c r="B78" s="2" t="s">
        <v>156</v>
      </c>
      <c r="C78" s="4">
        <v>-6272.8490000000002</v>
      </c>
      <c r="D78" s="4">
        <v>-6272.8490000000002</v>
      </c>
      <c r="E78" s="5">
        <f t="shared" si="1"/>
        <v>0</v>
      </c>
    </row>
    <row r="79" spans="1:5" x14ac:dyDescent="0.3">
      <c r="A79" s="2" t="s">
        <v>157</v>
      </c>
      <c r="B79" s="2" t="s">
        <v>158</v>
      </c>
      <c r="C79" s="4">
        <v>2659625.4029999999</v>
      </c>
      <c r="D79" s="4">
        <v>3642943.7489999998</v>
      </c>
      <c r="E79" s="5">
        <f t="shared" si="1"/>
        <v>983318.3459999999</v>
      </c>
    </row>
    <row r="80" spans="1:5" x14ac:dyDescent="0.3">
      <c r="A80" s="2" t="s">
        <v>159</v>
      </c>
      <c r="B80" s="2" t="s">
        <v>160</v>
      </c>
      <c r="C80" s="4">
        <v>400</v>
      </c>
      <c r="D80" s="4">
        <v>1800</v>
      </c>
      <c r="E80" s="5">
        <f t="shared" si="1"/>
        <v>1400</v>
      </c>
    </row>
    <row r="81" spans="1:5" x14ac:dyDescent="0.3">
      <c r="A81" s="2" t="s">
        <v>161</v>
      </c>
      <c r="B81" s="2" t="s">
        <v>162</v>
      </c>
      <c r="C81" s="4">
        <v>0</v>
      </c>
      <c r="D81" s="4">
        <v>0.03</v>
      </c>
      <c r="E81" s="5">
        <f t="shared" si="1"/>
        <v>0.03</v>
      </c>
    </row>
    <row r="82" spans="1:5" x14ac:dyDescent="0.3">
      <c r="A82" s="2" t="s">
        <v>163</v>
      </c>
      <c r="B82" s="2" t="s">
        <v>164</v>
      </c>
      <c r="C82" s="4">
        <v>0</v>
      </c>
      <c r="D82" s="4">
        <v>0</v>
      </c>
      <c r="E82" s="5">
        <f t="shared" si="1"/>
        <v>0</v>
      </c>
    </row>
    <row r="83" spans="1:5" x14ac:dyDescent="0.3">
      <c r="A83" s="2" t="s">
        <v>165</v>
      </c>
      <c r="B83" s="2" t="s">
        <v>166</v>
      </c>
      <c r="C83" s="4">
        <v>0</v>
      </c>
      <c r="D83" s="4">
        <v>0</v>
      </c>
      <c r="E83" s="5">
        <f t="shared" si="1"/>
        <v>0</v>
      </c>
    </row>
    <row r="84" spans="1:5" x14ac:dyDescent="0.3">
      <c r="A84" s="2" t="s">
        <v>167</v>
      </c>
      <c r="B84" s="2" t="s">
        <v>168</v>
      </c>
      <c r="C84" s="4">
        <v>0</v>
      </c>
      <c r="D84" s="4">
        <v>-5.0999999999999997E-2</v>
      </c>
      <c r="E84" s="5">
        <f t="shared" si="1"/>
        <v>-5.0999999999999997E-2</v>
      </c>
    </row>
    <row r="85" spans="1:5" x14ac:dyDescent="0.3">
      <c r="A85" s="2" t="s">
        <v>169</v>
      </c>
      <c r="B85" s="2" t="s">
        <v>170</v>
      </c>
      <c r="C85" s="4">
        <v>274102.13400000002</v>
      </c>
      <c r="D85" s="4">
        <v>47684.358999999997</v>
      </c>
      <c r="E85" s="5">
        <f t="shared" si="1"/>
        <v>-226417.77500000002</v>
      </c>
    </row>
    <row r="86" spans="1:5" x14ac:dyDescent="0.3">
      <c r="A86" s="2" t="s">
        <v>171</v>
      </c>
      <c r="B86" s="2" t="s">
        <v>172</v>
      </c>
      <c r="C86" s="4">
        <v>0</v>
      </c>
      <c r="D86" s="4">
        <v>0</v>
      </c>
      <c r="E86" s="5">
        <f t="shared" si="1"/>
        <v>0</v>
      </c>
    </row>
    <row r="87" spans="1:5" x14ac:dyDescent="0.3">
      <c r="A87" s="2" t="s">
        <v>173</v>
      </c>
      <c r="B87" s="2" t="s">
        <v>174</v>
      </c>
      <c r="C87" s="4">
        <v>0</v>
      </c>
      <c r="D87" s="4">
        <v>-5.8999999999999997E-2</v>
      </c>
      <c r="E87" s="5">
        <f t="shared" si="1"/>
        <v>-5.8999999999999997E-2</v>
      </c>
    </row>
    <row r="88" spans="1:5" x14ac:dyDescent="0.3">
      <c r="A88" s="2" t="s">
        <v>175</v>
      </c>
      <c r="B88" s="2" t="s">
        <v>176</v>
      </c>
      <c r="C88" s="4">
        <v>0</v>
      </c>
      <c r="D88" s="4">
        <v>108546.568</v>
      </c>
      <c r="E88" s="5">
        <f t="shared" si="1"/>
        <v>108546.568</v>
      </c>
    </row>
    <row r="89" spans="1:5" x14ac:dyDescent="0.3">
      <c r="A89" s="2" t="s">
        <v>177</v>
      </c>
      <c r="B89" s="2" t="s">
        <v>178</v>
      </c>
      <c r="C89" s="4">
        <v>541.495</v>
      </c>
      <c r="D89" s="4">
        <v>541.495</v>
      </c>
      <c r="E89" s="5">
        <f t="shared" si="1"/>
        <v>0</v>
      </c>
    </row>
    <row r="90" spans="1:5" x14ac:dyDescent="0.3">
      <c r="A90" s="2" t="s">
        <v>179</v>
      </c>
      <c r="B90" s="2" t="s">
        <v>180</v>
      </c>
      <c r="C90" s="4">
        <v>480.57900000000001</v>
      </c>
      <c r="D90" s="4">
        <v>480.57900000000001</v>
      </c>
      <c r="E90" s="5">
        <f t="shared" si="1"/>
        <v>0</v>
      </c>
    </row>
    <row r="91" spans="1:5" x14ac:dyDescent="0.3">
      <c r="A91" s="2" t="s">
        <v>181</v>
      </c>
      <c r="B91" s="2" t="s">
        <v>182</v>
      </c>
      <c r="C91" s="4">
        <v>0</v>
      </c>
      <c r="D91" s="4">
        <v>2</v>
      </c>
      <c r="E91" s="5">
        <f t="shared" si="1"/>
        <v>2</v>
      </c>
    </row>
    <row r="92" spans="1:5" x14ac:dyDescent="0.3">
      <c r="A92" s="2" t="s">
        <v>183</v>
      </c>
      <c r="B92" s="2" t="s">
        <v>184</v>
      </c>
      <c r="C92" s="4">
        <v>-65875.331000000006</v>
      </c>
      <c r="D92" s="4">
        <v>-103123.40700000001</v>
      </c>
      <c r="E92" s="5">
        <f t="shared" si="1"/>
        <v>-37248.076000000001</v>
      </c>
    </row>
    <row r="93" spans="1:5" x14ac:dyDescent="0.3">
      <c r="A93" s="2" t="s">
        <v>185</v>
      </c>
      <c r="B93" s="2" t="s">
        <v>186</v>
      </c>
      <c r="C93" s="4">
        <v>0</v>
      </c>
      <c r="D93" s="4">
        <v>0</v>
      </c>
      <c r="E93" s="5">
        <f t="shared" si="1"/>
        <v>0</v>
      </c>
    </row>
    <row r="94" spans="1:5" x14ac:dyDescent="0.3">
      <c r="A94" s="2" t="s">
        <v>187</v>
      </c>
      <c r="B94" s="2" t="s">
        <v>188</v>
      </c>
      <c r="C94" s="4">
        <v>-150000</v>
      </c>
      <c r="D94" s="4">
        <v>-150000</v>
      </c>
      <c r="E94" s="5">
        <f t="shared" si="1"/>
        <v>0</v>
      </c>
    </row>
    <row r="95" spans="1:5" x14ac:dyDescent="0.3">
      <c r="A95" s="2" t="s">
        <v>189</v>
      </c>
      <c r="B95" s="2" t="s">
        <v>190</v>
      </c>
      <c r="C95" s="4">
        <v>2192527.247</v>
      </c>
      <c r="D95" s="4">
        <v>2855698.5890000002</v>
      </c>
      <c r="E95" s="5">
        <f t="shared" si="1"/>
        <v>663171.34200000018</v>
      </c>
    </row>
    <row r="96" spans="1:5" x14ac:dyDescent="0.3">
      <c r="A96" s="2" t="s">
        <v>191</v>
      </c>
      <c r="B96" s="2" t="s">
        <v>192</v>
      </c>
      <c r="C96" s="4">
        <v>4580.6710000000003</v>
      </c>
      <c r="D96" s="4">
        <v>-1742.73</v>
      </c>
      <c r="E96" s="5">
        <f t="shared" si="1"/>
        <v>-6323.4009999999998</v>
      </c>
    </row>
    <row r="97" spans="1:5" x14ac:dyDescent="0.3">
      <c r="A97" s="2" t="s">
        <v>193</v>
      </c>
      <c r="B97" s="2" t="s">
        <v>194</v>
      </c>
      <c r="C97" s="4">
        <v>-6618.3230000000003</v>
      </c>
      <c r="D97" s="4">
        <v>-6618.3230000000003</v>
      </c>
      <c r="E97" s="5">
        <f t="shared" si="1"/>
        <v>0</v>
      </c>
    </row>
    <row r="98" spans="1:5" x14ac:dyDescent="0.3">
      <c r="A98" s="2" t="s">
        <v>195</v>
      </c>
      <c r="B98" s="2" t="s">
        <v>196</v>
      </c>
      <c r="C98" s="4">
        <v>329077.087</v>
      </c>
      <c r="D98" s="4">
        <v>329077.087</v>
      </c>
      <c r="E98" s="5">
        <f t="shared" si="1"/>
        <v>0</v>
      </c>
    </row>
    <row r="99" spans="1:5" x14ac:dyDescent="0.3">
      <c r="A99" s="2" t="s">
        <v>197</v>
      </c>
      <c r="B99" s="2" t="s">
        <v>198</v>
      </c>
      <c r="C99" s="4">
        <v>-1284.28</v>
      </c>
      <c r="D99" s="4">
        <v>-1284.28</v>
      </c>
      <c r="E99" s="5">
        <f t="shared" si="1"/>
        <v>0</v>
      </c>
    </row>
    <row r="100" spans="1:5" x14ac:dyDescent="0.3">
      <c r="A100" s="2" t="s">
        <v>199</v>
      </c>
      <c r="B100" s="2" t="s">
        <v>200</v>
      </c>
      <c r="C100" s="4">
        <v>-114041.629</v>
      </c>
      <c r="D100" s="4">
        <v>-111803.81200000001</v>
      </c>
      <c r="E100" s="5">
        <f t="shared" si="1"/>
        <v>2237.8169999999955</v>
      </c>
    </row>
    <row r="101" spans="1:5" x14ac:dyDescent="0.3">
      <c r="A101" s="2" t="s">
        <v>201</v>
      </c>
      <c r="B101" s="2" t="s">
        <v>202</v>
      </c>
      <c r="C101" s="4">
        <v>-14493.021000000001</v>
      </c>
      <c r="D101" s="4">
        <v>-17627.954000000002</v>
      </c>
      <c r="E101" s="5">
        <f t="shared" si="1"/>
        <v>-3134.9330000000009</v>
      </c>
    </row>
    <row r="102" spans="1:5" x14ac:dyDescent="0.3">
      <c r="A102" s="2" t="s">
        <v>203</v>
      </c>
      <c r="B102" s="2" t="s">
        <v>204</v>
      </c>
      <c r="C102" s="4">
        <v>25660.194</v>
      </c>
      <c r="D102" s="4">
        <v>25347.214</v>
      </c>
      <c r="E102" s="5">
        <f t="shared" si="1"/>
        <v>-312.97999999999956</v>
      </c>
    </row>
    <row r="103" spans="1:5" x14ac:dyDescent="0.3">
      <c r="A103" s="2" t="s">
        <v>205</v>
      </c>
      <c r="B103" s="2" t="s">
        <v>206</v>
      </c>
      <c r="C103" s="4">
        <v>310</v>
      </c>
      <c r="D103" s="4">
        <v>2982.5839999999998</v>
      </c>
      <c r="E103" s="5">
        <f t="shared" si="1"/>
        <v>2672.5839999999998</v>
      </c>
    </row>
    <row r="104" spans="1:5" x14ac:dyDescent="0.3">
      <c r="A104" s="2" t="s">
        <v>207</v>
      </c>
      <c r="B104" s="2" t="s">
        <v>208</v>
      </c>
      <c r="C104" s="4">
        <v>0</v>
      </c>
      <c r="D104" s="4">
        <v>-936.61300000000006</v>
      </c>
      <c r="E104" s="5">
        <f t="shared" si="1"/>
        <v>-936.61300000000006</v>
      </c>
    </row>
    <row r="105" spans="1:5" x14ac:dyDescent="0.3">
      <c r="A105" s="2" t="s">
        <v>209</v>
      </c>
      <c r="B105" s="2" t="s">
        <v>210</v>
      </c>
      <c r="C105" s="4">
        <v>-2864.6419999999998</v>
      </c>
      <c r="D105" s="4">
        <v>-2864.6419999999998</v>
      </c>
      <c r="E105" s="5">
        <f t="shared" si="1"/>
        <v>0</v>
      </c>
    </row>
    <row r="106" spans="1:5" x14ac:dyDescent="0.3">
      <c r="A106" s="2" t="s">
        <v>211</v>
      </c>
      <c r="B106" s="2" t="s">
        <v>212</v>
      </c>
      <c r="C106" s="4">
        <v>5090.6450000000004</v>
      </c>
      <c r="D106" s="4">
        <v>5090.6450000000004</v>
      </c>
      <c r="E106" s="5">
        <f t="shared" si="1"/>
        <v>0</v>
      </c>
    </row>
    <row r="107" spans="1:5" x14ac:dyDescent="0.3">
      <c r="A107" s="2" t="s">
        <v>213</v>
      </c>
      <c r="B107" s="2" t="s">
        <v>214</v>
      </c>
      <c r="C107" s="4">
        <v>2493917.7379999999</v>
      </c>
      <c r="D107" s="4">
        <v>2298724.5219999999</v>
      </c>
      <c r="E107" s="5">
        <f t="shared" si="1"/>
        <v>-195193.21600000001</v>
      </c>
    </row>
    <row r="108" spans="1:5" x14ac:dyDescent="0.3">
      <c r="A108" s="2" t="s">
        <v>215</v>
      </c>
      <c r="B108" s="2" t="s">
        <v>216</v>
      </c>
      <c r="C108" s="4">
        <v>68819.020999999993</v>
      </c>
      <c r="D108" s="4">
        <v>68819.020999999993</v>
      </c>
      <c r="E108" s="5">
        <f t="shared" si="1"/>
        <v>0</v>
      </c>
    </row>
    <row r="109" spans="1:5" x14ac:dyDescent="0.3">
      <c r="A109" s="2" t="s">
        <v>217</v>
      </c>
      <c r="B109" s="2" t="s">
        <v>218</v>
      </c>
      <c r="C109" s="4">
        <v>-266265.61499999999</v>
      </c>
      <c r="D109" s="4">
        <v>-1601832.1129999999</v>
      </c>
      <c r="E109" s="5">
        <f t="shared" si="1"/>
        <v>-1335566.4979999999</v>
      </c>
    </row>
    <row r="110" spans="1:5" x14ac:dyDescent="0.3">
      <c r="A110" s="2" t="s">
        <v>219</v>
      </c>
      <c r="B110" s="2" t="s">
        <v>220</v>
      </c>
      <c r="C110" s="4">
        <v>455540.80499999999</v>
      </c>
      <c r="D110" s="4">
        <v>406023</v>
      </c>
      <c r="E110" s="5">
        <f t="shared" si="1"/>
        <v>-49517.804999999993</v>
      </c>
    </row>
    <row r="111" spans="1:5" x14ac:dyDescent="0.3">
      <c r="A111" s="2" t="s">
        <v>221</v>
      </c>
      <c r="B111" s="2" t="s">
        <v>222</v>
      </c>
      <c r="C111" s="4">
        <v>343546.38500000001</v>
      </c>
      <c r="D111" s="4">
        <v>346168.38500000001</v>
      </c>
      <c r="E111" s="5">
        <f t="shared" si="1"/>
        <v>2622</v>
      </c>
    </row>
    <row r="112" spans="1:5" x14ac:dyDescent="0.3">
      <c r="A112" s="2" t="s">
        <v>223</v>
      </c>
      <c r="B112" s="2" t="s">
        <v>224</v>
      </c>
      <c r="C112" s="4">
        <v>-8802.1309999999994</v>
      </c>
      <c r="D112" s="4">
        <v>-8802.1309999999994</v>
      </c>
      <c r="E112" s="5">
        <f t="shared" si="1"/>
        <v>0</v>
      </c>
    </row>
    <row r="113" spans="1:5" x14ac:dyDescent="0.3">
      <c r="A113" s="2" t="s">
        <v>225</v>
      </c>
      <c r="B113" s="2" t="s">
        <v>226</v>
      </c>
      <c r="C113" s="4">
        <v>-193896.87400000001</v>
      </c>
      <c r="D113" s="4">
        <v>-193896.87400000001</v>
      </c>
      <c r="E113" s="5">
        <f t="shared" si="1"/>
        <v>0</v>
      </c>
    </row>
    <row r="114" spans="1:5" x14ac:dyDescent="0.3">
      <c r="A114" s="2" t="s">
        <v>227</v>
      </c>
      <c r="B114" s="2" t="s">
        <v>228</v>
      </c>
      <c r="C114" s="4">
        <v>416067.06</v>
      </c>
      <c r="D114" s="4">
        <v>494067.06</v>
      </c>
      <c r="E114" s="5">
        <f t="shared" si="1"/>
        <v>78000</v>
      </c>
    </row>
    <row r="115" spans="1:5" x14ac:dyDescent="0.3">
      <c r="A115" s="2" t="s">
        <v>229</v>
      </c>
      <c r="B115" s="2" t="s">
        <v>230</v>
      </c>
      <c r="C115" s="4">
        <v>44504.451999999997</v>
      </c>
      <c r="D115" s="4">
        <v>44504.451999999997</v>
      </c>
      <c r="E115" s="5">
        <f t="shared" si="1"/>
        <v>0</v>
      </c>
    </row>
    <row r="116" spans="1:5" x14ac:dyDescent="0.3">
      <c r="A116" s="2" t="s">
        <v>231</v>
      </c>
      <c r="B116" s="2" t="s">
        <v>232</v>
      </c>
      <c r="C116" s="4">
        <v>1165</v>
      </c>
      <c r="D116" s="4">
        <v>1165</v>
      </c>
      <c r="E116" s="5">
        <f t="shared" si="1"/>
        <v>0</v>
      </c>
    </row>
    <row r="117" spans="1:5" x14ac:dyDescent="0.3">
      <c r="A117" s="2" t="s">
        <v>233</v>
      </c>
      <c r="B117" s="2" t="s">
        <v>234</v>
      </c>
      <c r="C117" s="4">
        <v>-11080</v>
      </c>
      <c r="D117" s="4">
        <v>-11080</v>
      </c>
      <c r="E117" s="5">
        <f t="shared" si="1"/>
        <v>0</v>
      </c>
    </row>
    <row r="118" spans="1:5" x14ac:dyDescent="0.3">
      <c r="A118" s="2" t="s">
        <v>235</v>
      </c>
      <c r="B118" s="2" t="s">
        <v>236</v>
      </c>
      <c r="C118" s="4">
        <v>-26524.550999999999</v>
      </c>
      <c r="D118" s="4">
        <v>-26524.550999999999</v>
      </c>
      <c r="E118" s="5">
        <f t="shared" si="1"/>
        <v>0</v>
      </c>
    </row>
    <row r="119" spans="1:5" x14ac:dyDescent="0.3">
      <c r="A119" s="2" t="s">
        <v>237</v>
      </c>
      <c r="B119" s="2" t="s">
        <v>238</v>
      </c>
      <c r="C119" s="4">
        <v>-208.5</v>
      </c>
      <c r="D119" s="4">
        <v>-208.5</v>
      </c>
      <c r="E119" s="5">
        <f t="shared" si="1"/>
        <v>0</v>
      </c>
    </row>
    <row r="120" spans="1:5" x14ac:dyDescent="0.3">
      <c r="A120" s="2" t="s">
        <v>239</v>
      </c>
      <c r="B120" s="2" t="s">
        <v>240</v>
      </c>
      <c r="C120" s="4">
        <v>0</v>
      </c>
      <c r="D120" s="4">
        <v>-122314.94</v>
      </c>
      <c r="E120" s="5">
        <f t="shared" si="1"/>
        <v>-122314.94</v>
      </c>
    </row>
    <row r="121" spans="1:5" x14ac:dyDescent="0.3">
      <c r="A121" s="2" t="s">
        <v>241</v>
      </c>
      <c r="B121" s="2" t="s">
        <v>242</v>
      </c>
      <c r="C121" s="4">
        <v>11048.552</v>
      </c>
      <c r="D121" s="4">
        <v>83283.660999999993</v>
      </c>
      <c r="E121" s="5">
        <f t="shared" si="1"/>
        <v>72235.108999999997</v>
      </c>
    </row>
    <row r="122" spans="1:5" x14ac:dyDescent="0.3">
      <c r="A122" s="2" t="s">
        <v>243</v>
      </c>
      <c r="B122" s="2" t="s">
        <v>244</v>
      </c>
      <c r="C122" s="4">
        <v>-2645399.2390000001</v>
      </c>
      <c r="D122" s="4">
        <v>-2891866.5649999999</v>
      </c>
      <c r="E122" s="5">
        <f t="shared" si="1"/>
        <v>-246467.32599999988</v>
      </c>
    </row>
    <row r="123" spans="1:5" x14ac:dyDescent="0.3">
      <c r="A123" s="2" t="s">
        <v>245</v>
      </c>
      <c r="B123" s="2" t="s">
        <v>246</v>
      </c>
      <c r="C123" s="4">
        <v>-3373999.611</v>
      </c>
      <c r="D123" s="4">
        <v>-3254448.1090000002</v>
      </c>
      <c r="E123" s="5">
        <f t="shared" si="1"/>
        <v>119551.50199999986</v>
      </c>
    </row>
    <row r="124" spans="1:5" x14ac:dyDescent="0.3">
      <c r="A124" s="2" t="s">
        <v>247</v>
      </c>
      <c r="B124" s="2" t="s">
        <v>248</v>
      </c>
      <c r="C124" s="4">
        <v>-1711535.524</v>
      </c>
      <c r="D124" s="4">
        <v>-2211068.537</v>
      </c>
      <c r="E124" s="5">
        <f t="shared" si="1"/>
        <v>-499533.01300000004</v>
      </c>
    </row>
    <row r="125" spans="1:5" x14ac:dyDescent="0.3">
      <c r="A125" s="2" t="s">
        <v>249</v>
      </c>
      <c r="B125" s="2" t="s">
        <v>250</v>
      </c>
      <c r="C125" s="4">
        <v>-329077.087</v>
      </c>
      <c r="D125" s="4">
        <v>-329077.087</v>
      </c>
      <c r="E125" s="5">
        <f t="shared" si="1"/>
        <v>0</v>
      </c>
    </row>
    <row r="126" spans="1:5" x14ac:dyDescent="0.3">
      <c r="A126" s="2" t="s">
        <v>251</v>
      </c>
      <c r="B126" s="2" t="s">
        <v>252</v>
      </c>
      <c r="C126" s="4">
        <v>-124062.75</v>
      </c>
      <c r="D126" s="4">
        <v>-190398.32199999999</v>
      </c>
      <c r="E126" s="5">
        <f t="shared" si="1"/>
        <v>-66335.571999999986</v>
      </c>
    </row>
    <row r="127" spans="1:5" x14ac:dyDescent="0.3">
      <c r="A127" s="2" t="s">
        <v>253</v>
      </c>
      <c r="B127" s="2" t="s">
        <v>254</v>
      </c>
      <c r="C127" s="4">
        <v>-12433</v>
      </c>
      <c r="D127" s="4">
        <v>-12433</v>
      </c>
      <c r="E127" s="5">
        <f t="shared" si="1"/>
        <v>0</v>
      </c>
    </row>
    <row r="128" spans="1:5" x14ac:dyDescent="0.3">
      <c r="A128" s="2" t="s">
        <v>255</v>
      </c>
      <c r="B128" s="2" t="s">
        <v>256</v>
      </c>
      <c r="C128" s="4">
        <v>-147372.47399999999</v>
      </c>
      <c r="D128" s="4">
        <v>-147372.47399999999</v>
      </c>
      <c r="E128" s="5">
        <f t="shared" si="1"/>
        <v>0</v>
      </c>
    </row>
    <row r="129" spans="1:5" x14ac:dyDescent="0.3">
      <c r="A129" s="2" t="s">
        <v>257</v>
      </c>
      <c r="B129" s="2" t="s">
        <v>258</v>
      </c>
      <c r="C129" s="4">
        <v>-3875.7179999999998</v>
      </c>
      <c r="D129" s="4">
        <v>-3875.7179999999998</v>
      </c>
      <c r="E129" s="5">
        <f t="shared" si="1"/>
        <v>0</v>
      </c>
    </row>
    <row r="130" spans="1:5" x14ac:dyDescent="0.3">
      <c r="A130" s="2" t="s">
        <v>259</v>
      </c>
      <c r="B130" s="2" t="s">
        <v>260</v>
      </c>
      <c r="C130" s="4">
        <v>-189880.74799999999</v>
      </c>
      <c r="D130" s="4">
        <v>-213775.62899999999</v>
      </c>
      <c r="E130" s="5">
        <f t="shared" si="1"/>
        <v>-23894.880999999994</v>
      </c>
    </row>
    <row r="131" spans="1:5" x14ac:dyDescent="0.3">
      <c r="A131" s="2" t="s">
        <v>261</v>
      </c>
      <c r="B131" s="2" t="s">
        <v>262</v>
      </c>
      <c r="C131" s="4">
        <v>-44504.451999999997</v>
      </c>
      <c r="D131" s="4">
        <v>-44504.451999999997</v>
      </c>
      <c r="E131" s="5">
        <f t="shared" ref="E131:E194" si="2">+D131-C131</f>
        <v>0</v>
      </c>
    </row>
    <row r="132" spans="1:5" x14ac:dyDescent="0.3">
      <c r="A132" s="2" t="s">
        <v>263</v>
      </c>
      <c r="B132" s="2" t="s">
        <v>264</v>
      </c>
      <c r="C132" s="4">
        <v>-346168.38500000001</v>
      </c>
      <c r="D132" s="4">
        <v>-346168.38500000001</v>
      </c>
      <c r="E132" s="5">
        <f t="shared" si="2"/>
        <v>0</v>
      </c>
    </row>
    <row r="133" spans="1:5" x14ac:dyDescent="0.3">
      <c r="A133" s="2" t="s">
        <v>265</v>
      </c>
      <c r="B133" s="2" t="s">
        <v>266</v>
      </c>
      <c r="C133" s="4">
        <v>-3116.931</v>
      </c>
      <c r="D133" s="4">
        <v>-98192.631999999998</v>
      </c>
      <c r="E133" s="5">
        <f t="shared" si="2"/>
        <v>-95075.701000000001</v>
      </c>
    </row>
    <row r="134" spans="1:5" x14ac:dyDescent="0.3">
      <c r="A134" s="2" t="s">
        <v>267</v>
      </c>
      <c r="B134" s="2" t="s">
        <v>268</v>
      </c>
      <c r="C134" s="4">
        <v>-4794731.6519999998</v>
      </c>
      <c r="D134" s="4">
        <v>-3306483.8050000002</v>
      </c>
      <c r="E134" s="5">
        <f t="shared" si="2"/>
        <v>1488247.8469999996</v>
      </c>
    </row>
    <row r="135" spans="1:5" x14ac:dyDescent="0.3">
      <c r="A135" s="2" t="s">
        <v>269</v>
      </c>
      <c r="B135" s="2" t="s">
        <v>270</v>
      </c>
      <c r="C135" s="4">
        <v>-7370656.5149999997</v>
      </c>
      <c r="D135" s="4">
        <v>-11944561.174000001</v>
      </c>
      <c r="E135" s="5">
        <f t="shared" si="2"/>
        <v>-4573904.6590000009</v>
      </c>
    </row>
    <row r="136" spans="1:5" x14ac:dyDescent="0.3">
      <c r="A136" s="2" t="s">
        <v>271</v>
      </c>
      <c r="B136" s="2" t="s">
        <v>272</v>
      </c>
      <c r="C136" s="4">
        <v>-216423.995</v>
      </c>
      <c r="D136" s="4">
        <v>-126914.658</v>
      </c>
      <c r="E136" s="5">
        <f t="shared" si="2"/>
        <v>89509.337</v>
      </c>
    </row>
    <row r="137" spans="1:5" x14ac:dyDescent="0.3">
      <c r="A137" s="2" t="s">
        <v>273</v>
      </c>
      <c r="B137" s="2" t="s">
        <v>274</v>
      </c>
      <c r="C137" s="4">
        <v>987115.97</v>
      </c>
      <c r="D137" s="4">
        <v>6691.76</v>
      </c>
      <c r="E137" s="5">
        <f t="shared" si="2"/>
        <v>-980424.21</v>
      </c>
    </row>
    <row r="138" spans="1:5" x14ac:dyDescent="0.3">
      <c r="A138" s="2" t="s">
        <v>275</v>
      </c>
      <c r="B138" s="2" t="s">
        <v>276</v>
      </c>
      <c r="C138" s="4">
        <v>0</v>
      </c>
      <c r="D138" s="4">
        <v>0</v>
      </c>
      <c r="E138" s="5">
        <f t="shared" si="2"/>
        <v>0</v>
      </c>
    </row>
    <row r="139" spans="1:5" x14ac:dyDescent="0.3">
      <c r="A139" s="2" t="s">
        <v>277</v>
      </c>
      <c r="B139" s="2" t="s">
        <v>278</v>
      </c>
      <c r="C139" s="4">
        <v>13612.239</v>
      </c>
      <c r="D139" s="4">
        <v>0</v>
      </c>
      <c r="E139" s="5">
        <f t="shared" si="2"/>
        <v>-13612.239</v>
      </c>
    </row>
    <row r="140" spans="1:5" x14ac:dyDescent="0.3">
      <c r="A140" s="2" t="s">
        <v>279</v>
      </c>
      <c r="B140" s="2" t="s">
        <v>280</v>
      </c>
      <c r="C140" s="4">
        <v>0</v>
      </c>
      <c r="D140" s="4">
        <v>0</v>
      </c>
      <c r="E140" s="5">
        <f t="shared" si="2"/>
        <v>0</v>
      </c>
    </row>
    <row r="141" spans="1:5" x14ac:dyDescent="0.3">
      <c r="A141" s="2" t="s">
        <v>281</v>
      </c>
      <c r="B141" s="2" t="s">
        <v>282</v>
      </c>
      <c r="C141" s="4">
        <v>803891.93400000001</v>
      </c>
      <c r="D141" s="4">
        <v>-669488.95799999998</v>
      </c>
      <c r="E141" s="5">
        <f t="shared" si="2"/>
        <v>-1473380.892</v>
      </c>
    </row>
    <row r="142" spans="1:5" x14ac:dyDescent="0.3">
      <c r="A142" s="2" t="s">
        <v>283</v>
      </c>
      <c r="B142" s="2" t="s">
        <v>284</v>
      </c>
      <c r="C142" s="4">
        <v>-5104.7749999999996</v>
      </c>
      <c r="D142" s="4">
        <v>-5104.7749999999996</v>
      </c>
      <c r="E142" s="5">
        <f t="shared" si="2"/>
        <v>0</v>
      </c>
    </row>
    <row r="143" spans="1:5" x14ac:dyDescent="0.3">
      <c r="A143" s="2" t="s">
        <v>285</v>
      </c>
      <c r="B143" s="2" t="s">
        <v>286</v>
      </c>
      <c r="C143" s="4">
        <v>0</v>
      </c>
      <c r="D143" s="4">
        <v>0</v>
      </c>
      <c r="E143" s="5">
        <f t="shared" si="2"/>
        <v>0</v>
      </c>
    </row>
    <row r="144" spans="1:5" x14ac:dyDescent="0.3">
      <c r="A144" s="2" t="s">
        <v>287</v>
      </c>
      <c r="B144" s="2" t="s">
        <v>288</v>
      </c>
      <c r="C144" s="4">
        <v>-6138.7579999999998</v>
      </c>
      <c r="D144" s="4">
        <v>-6138.7579999999998</v>
      </c>
      <c r="E144" s="5">
        <f t="shared" si="2"/>
        <v>0</v>
      </c>
    </row>
    <row r="145" spans="1:5" x14ac:dyDescent="0.3">
      <c r="A145" s="2" t="s">
        <v>289</v>
      </c>
      <c r="B145" s="2" t="s">
        <v>290</v>
      </c>
      <c r="C145" s="4">
        <v>419047.505</v>
      </c>
      <c r="D145" s="4">
        <v>585836.69099999999</v>
      </c>
      <c r="E145" s="5">
        <f t="shared" si="2"/>
        <v>166789.18599999999</v>
      </c>
    </row>
    <row r="146" spans="1:5" x14ac:dyDescent="0.3">
      <c r="A146" s="2" t="s">
        <v>291</v>
      </c>
      <c r="B146" s="2" t="s">
        <v>292</v>
      </c>
      <c r="C146" s="4">
        <v>-418.93599999999998</v>
      </c>
      <c r="D146" s="4">
        <v>-525.58299999999997</v>
      </c>
      <c r="E146" s="5">
        <f t="shared" si="2"/>
        <v>-106.64699999999999</v>
      </c>
    </row>
    <row r="147" spans="1:5" x14ac:dyDescent="0.3">
      <c r="A147" s="2" t="s">
        <v>293</v>
      </c>
      <c r="B147" s="2" t="s">
        <v>294</v>
      </c>
      <c r="C147" s="4">
        <v>-391.52300000000002</v>
      </c>
      <c r="D147" s="4">
        <v>-542.00599999999997</v>
      </c>
      <c r="E147" s="5">
        <f t="shared" si="2"/>
        <v>-150.48299999999995</v>
      </c>
    </row>
    <row r="148" spans="1:5" x14ac:dyDescent="0.3">
      <c r="A148" s="2" t="s">
        <v>295</v>
      </c>
      <c r="B148" s="2" t="s">
        <v>296</v>
      </c>
      <c r="C148" s="4">
        <v>87.718999999999994</v>
      </c>
      <c r="D148" s="4">
        <v>-255.001</v>
      </c>
      <c r="E148" s="5">
        <f t="shared" si="2"/>
        <v>-342.72</v>
      </c>
    </row>
    <row r="149" spans="1:5" x14ac:dyDescent="0.3">
      <c r="A149" s="2" t="s">
        <v>297</v>
      </c>
      <c r="B149" s="2" t="s">
        <v>298</v>
      </c>
      <c r="C149" s="4">
        <v>114010.27800000001</v>
      </c>
      <c r="D149" s="4">
        <v>7992.1779999999999</v>
      </c>
      <c r="E149" s="5">
        <f t="shared" si="2"/>
        <v>-106018.1</v>
      </c>
    </row>
    <row r="150" spans="1:5" x14ac:dyDescent="0.3">
      <c r="A150" s="2" t="s">
        <v>299</v>
      </c>
      <c r="B150" s="2" t="s">
        <v>300</v>
      </c>
      <c r="C150" s="4">
        <v>106239.583</v>
      </c>
      <c r="D150" s="4">
        <v>9900.0499999999993</v>
      </c>
      <c r="E150" s="5">
        <f t="shared" si="2"/>
        <v>-96339.532999999996</v>
      </c>
    </row>
    <row r="151" spans="1:5" x14ac:dyDescent="0.3">
      <c r="A151" s="2" t="s">
        <v>301</v>
      </c>
      <c r="B151" s="2" t="s">
        <v>302</v>
      </c>
      <c r="C151" s="4">
        <v>343.524</v>
      </c>
      <c r="D151" s="4">
        <v>503.44099999999997</v>
      </c>
      <c r="E151" s="5">
        <f t="shared" si="2"/>
        <v>159.91699999999997</v>
      </c>
    </row>
    <row r="152" spans="1:5" x14ac:dyDescent="0.3">
      <c r="A152" s="2" t="s">
        <v>303</v>
      </c>
      <c r="B152" s="2" t="s">
        <v>304</v>
      </c>
      <c r="C152" s="4">
        <v>0</v>
      </c>
      <c r="D152" s="4">
        <v>0</v>
      </c>
      <c r="E152" s="5">
        <f t="shared" si="2"/>
        <v>0</v>
      </c>
    </row>
    <row r="153" spans="1:5" x14ac:dyDescent="0.3">
      <c r="A153" s="2" t="s">
        <v>305</v>
      </c>
      <c r="B153" s="2" t="s">
        <v>306</v>
      </c>
      <c r="C153" s="4">
        <v>0</v>
      </c>
      <c r="D153" s="4">
        <v>0</v>
      </c>
      <c r="E153" s="5">
        <f t="shared" si="2"/>
        <v>0</v>
      </c>
    </row>
    <row r="154" spans="1:5" x14ac:dyDescent="0.3">
      <c r="A154" s="2" t="s">
        <v>307</v>
      </c>
      <c r="B154" s="2" t="s">
        <v>308</v>
      </c>
      <c r="C154" s="4">
        <v>0</v>
      </c>
      <c r="D154" s="4">
        <v>0</v>
      </c>
      <c r="E154" s="5">
        <f t="shared" si="2"/>
        <v>0</v>
      </c>
    </row>
    <row r="155" spans="1:5" x14ac:dyDescent="0.3">
      <c r="A155" s="2" t="s">
        <v>309</v>
      </c>
      <c r="B155" s="2" t="s">
        <v>310</v>
      </c>
      <c r="C155" s="4">
        <v>0</v>
      </c>
      <c r="D155" s="4">
        <v>0</v>
      </c>
      <c r="E155" s="5">
        <f t="shared" si="2"/>
        <v>0</v>
      </c>
    </row>
    <row r="156" spans="1:5" x14ac:dyDescent="0.3">
      <c r="A156" s="2" t="s">
        <v>311</v>
      </c>
      <c r="B156" s="2" t="s">
        <v>312</v>
      </c>
      <c r="C156" s="4">
        <v>-2525147.4679999999</v>
      </c>
      <c r="D156" s="4">
        <v>-59797.87</v>
      </c>
      <c r="E156" s="5">
        <f t="shared" si="2"/>
        <v>2465349.5979999998</v>
      </c>
    </row>
    <row r="157" spans="1:5" x14ac:dyDescent="0.3">
      <c r="A157" s="2" t="s">
        <v>313</v>
      </c>
      <c r="B157" s="2" t="s">
        <v>314</v>
      </c>
      <c r="C157" s="4">
        <v>21236.953000000001</v>
      </c>
      <c r="D157" s="4">
        <v>19017.856</v>
      </c>
      <c r="E157" s="5">
        <f t="shared" si="2"/>
        <v>-2219.0970000000016</v>
      </c>
    </row>
    <row r="158" spans="1:5" x14ac:dyDescent="0.3">
      <c r="A158" s="2" t="s">
        <v>315</v>
      </c>
      <c r="B158" s="2" t="s">
        <v>316</v>
      </c>
      <c r="C158" s="4">
        <v>119167.436</v>
      </c>
      <c r="D158" s="4">
        <v>117543.334</v>
      </c>
      <c r="E158" s="5">
        <f t="shared" si="2"/>
        <v>-1624.101999999999</v>
      </c>
    </row>
    <row r="159" spans="1:5" x14ac:dyDescent="0.3">
      <c r="A159" s="2" t="s">
        <v>317</v>
      </c>
      <c r="B159" s="2" t="s">
        <v>318</v>
      </c>
      <c r="C159" s="4">
        <v>8121.98</v>
      </c>
      <c r="D159" s="4">
        <v>10975.013999999999</v>
      </c>
      <c r="E159" s="5">
        <f t="shared" si="2"/>
        <v>2853.0339999999997</v>
      </c>
    </row>
    <row r="160" spans="1:5" x14ac:dyDescent="0.3">
      <c r="A160" s="2" t="s">
        <v>319</v>
      </c>
      <c r="B160" s="2" t="s">
        <v>320</v>
      </c>
      <c r="C160" s="4">
        <v>4165.7190000000001</v>
      </c>
      <c r="D160" s="4">
        <v>4981.3530000000001</v>
      </c>
      <c r="E160" s="5">
        <f t="shared" si="2"/>
        <v>815.63400000000001</v>
      </c>
    </row>
    <row r="161" spans="1:5" x14ac:dyDescent="0.3">
      <c r="A161" s="2" t="s">
        <v>321</v>
      </c>
      <c r="B161" s="2" t="s">
        <v>322</v>
      </c>
      <c r="C161" s="4">
        <v>27771.848000000002</v>
      </c>
      <c r="D161" s="4">
        <v>29015.621999999999</v>
      </c>
      <c r="E161" s="5">
        <f t="shared" si="2"/>
        <v>1243.7739999999976</v>
      </c>
    </row>
    <row r="162" spans="1:5" x14ac:dyDescent="0.3">
      <c r="A162" s="2" t="s">
        <v>323</v>
      </c>
      <c r="B162" s="2" t="s">
        <v>324</v>
      </c>
      <c r="C162" s="4">
        <v>5274.95</v>
      </c>
      <c r="D162" s="4">
        <v>7321.8360000000002</v>
      </c>
      <c r="E162" s="5">
        <f t="shared" si="2"/>
        <v>2046.8860000000004</v>
      </c>
    </row>
    <row r="163" spans="1:5" x14ac:dyDescent="0.3">
      <c r="A163" s="2" t="s">
        <v>325</v>
      </c>
      <c r="B163" s="2" t="s">
        <v>326</v>
      </c>
      <c r="C163" s="4">
        <v>3502.5749999999998</v>
      </c>
      <c r="D163" s="4">
        <v>2291.8000000000002</v>
      </c>
      <c r="E163" s="5">
        <f t="shared" si="2"/>
        <v>-1210.7749999999996</v>
      </c>
    </row>
    <row r="164" spans="1:5" x14ac:dyDescent="0.3">
      <c r="A164" s="2" t="s">
        <v>327</v>
      </c>
      <c r="B164" s="2" t="s">
        <v>328</v>
      </c>
      <c r="C164" s="4">
        <v>479</v>
      </c>
      <c r="D164" s="4">
        <v>0</v>
      </c>
      <c r="E164" s="5">
        <f t="shared" si="2"/>
        <v>-479</v>
      </c>
    </row>
    <row r="165" spans="1:5" x14ac:dyDescent="0.3">
      <c r="A165" s="2" t="s">
        <v>329</v>
      </c>
      <c r="B165" s="2" t="s">
        <v>330</v>
      </c>
      <c r="C165" s="4">
        <v>451.41300000000001</v>
      </c>
      <c r="D165" s="4">
        <v>2037.259</v>
      </c>
      <c r="E165" s="5">
        <f t="shared" si="2"/>
        <v>1585.846</v>
      </c>
    </row>
    <row r="166" spans="1:5" x14ac:dyDescent="0.3">
      <c r="A166" s="2" t="s">
        <v>331</v>
      </c>
      <c r="B166" s="2" t="s">
        <v>332</v>
      </c>
      <c r="C166" s="4">
        <v>370487.16100000002</v>
      </c>
      <c r="D166" s="4">
        <v>0</v>
      </c>
      <c r="E166" s="5">
        <f t="shared" si="2"/>
        <v>-370487.16100000002</v>
      </c>
    </row>
    <row r="167" spans="1:5" x14ac:dyDescent="0.3">
      <c r="A167" s="2" t="s">
        <v>333</v>
      </c>
      <c r="B167" s="2" t="s">
        <v>334</v>
      </c>
      <c r="C167" s="4">
        <v>1279571</v>
      </c>
      <c r="D167" s="4">
        <v>2690674.3369999998</v>
      </c>
      <c r="E167" s="5">
        <f t="shared" si="2"/>
        <v>1411103.3369999998</v>
      </c>
    </row>
    <row r="168" spans="1:5" x14ac:dyDescent="0.3">
      <c r="A168" s="2" t="s">
        <v>335</v>
      </c>
      <c r="B168" s="2" t="s">
        <v>336</v>
      </c>
      <c r="C168" s="4">
        <v>43004501.384000003</v>
      </c>
      <c r="D168" s="4">
        <v>37285084.935999997</v>
      </c>
      <c r="E168" s="5">
        <f t="shared" si="2"/>
        <v>-5719416.4480000064</v>
      </c>
    </row>
    <row r="169" spans="1:5" x14ac:dyDescent="0.3">
      <c r="A169" s="2" t="s">
        <v>337</v>
      </c>
      <c r="B169" s="2" t="s">
        <v>338</v>
      </c>
      <c r="C169" s="4">
        <v>52910.775999999998</v>
      </c>
      <c r="D169" s="4">
        <v>67670.67</v>
      </c>
      <c r="E169" s="5">
        <f t="shared" si="2"/>
        <v>14759.894</v>
      </c>
    </row>
    <row r="170" spans="1:5" x14ac:dyDescent="0.3">
      <c r="A170" s="2" t="s">
        <v>339</v>
      </c>
      <c r="B170" s="2" t="s">
        <v>340</v>
      </c>
      <c r="C170" s="4">
        <v>50</v>
      </c>
      <c r="D170" s="4">
        <v>0</v>
      </c>
      <c r="E170" s="5">
        <f t="shared" si="2"/>
        <v>-50</v>
      </c>
    </row>
    <row r="171" spans="1:5" x14ac:dyDescent="0.3">
      <c r="A171" s="2" t="s">
        <v>341</v>
      </c>
      <c r="B171" s="2" t="s">
        <v>342</v>
      </c>
      <c r="C171" s="4">
        <v>936.5</v>
      </c>
      <c r="D171" s="4">
        <v>0</v>
      </c>
      <c r="E171" s="5">
        <f t="shared" si="2"/>
        <v>-936.5</v>
      </c>
    </row>
    <row r="172" spans="1:5" x14ac:dyDescent="0.3">
      <c r="A172" s="2" t="s">
        <v>343</v>
      </c>
      <c r="B172" s="2" t="s">
        <v>344</v>
      </c>
      <c r="C172" s="4">
        <v>12276120</v>
      </c>
      <c r="D172" s="4">
        <v>10857641.528999999</v>
      </c>
      <c r="E172" s="5">
        <f t="shared" si="2"/>
        <v>-1418478.4710000008</v>
      </c>
    </row>
    <row r="173" spans="1:5" x14ac:dyDescent="0.3">
      <c r="A173" s="2" t="s">
        <v>345</v>
      </c>
      <c r="B173" s="2" t="s">
        <v>346</v>
      </c>
      <c r="C173" s="4">
        <v>7142.7809999999999</v>
      </c>
      <c r="D173" s="4">
        <v>3986.6210000000001</v>
      </c>
      <c r="E173" s="5">
        <f t="shared" si="2"/>
        <v>-3156.16</v>
      </c>
    </row>
    <row r="174" spans="1:5" x14ac:dyDescent="0.3">
      <c r="A174" s="2" t="s">
        <v>347</v>
      </c>
      <c r="B174" s="2" t="s">
        <v>348</v>
      </c>
      <c r="C174" s="4">
        <v>31111.662</v>
      </c>
      <c r="D174" s="4">
        <v>0</v>
      </c>
      <c r="E174" s="5">
        <f t="shared" si="2"/>
        <v>-31111.662</v>
      </c>
    </row>
    <row r="175" spans="1:5" x14ac:dyDescent="0.3">
      <c r="A175" s="2" t="s">
        <v>349</v>
      </c>
      <c r="B175" s="2" t="s">
        <v>350</v>
      </c>
      <c r="C175" s="4">
        <v>74594.922000000006</v>
      </c>
      <c r="D175" s="4">
        <v>67565.142999999996</v>
      </c>
      <c r="E175" s="5">
        <f t="shared" si="2"/>
        <v>-7029.7790000000095</v>
      </c>
    </row>
    <row r="176" spans="1:5" x14ac:dyDescent="0.3">
      <c r="A176" s="2" t="s">
        <v>351</v>
      </c>
      <c r="B176" s="2" t="s">
        <v>352</v>
      </c>
      <c r="C176" s="4">
        <v>108.81399999999999</v>
      </c>
      <c r="D176" s="4">
        <v>0</v>
      </c>
      <c r="E176" s="5">
        <f t="shared" si="2"/>
        <v>-108.81399999999999</v>
      </c>
    </row>
    <row r="177" spans="1:5" x14ac:dyDescent="0.3">
      <c r="A177" s="2" t="s">
        <v>353</v>
      </c>
      <c r="B177" s="2" t="s">
        <v>354</v>
      </c>
      <c r="C177" s="4">
        <v>20201.509999999998</v>
      </c>
      <c r="D177" s="4">
        <v>59597.033000000003</v>
      </c>
      <c r="E177" s="5">
        <f t="shared" si="2"/>
        <v>39395.523000000001</v>
      </c>
    </row>
    <row r="178" spans="1:5" x14ac:dyDescent="0.3">
      <c r="A178" s="2" t="s">
        <v>355</v>
      </c>
      <c r="B178" s="2" t="s">
        <v>356</v>
      </c>
      <c r="C178" s="4">
        <v>34508.160000000003</v>
      </c>
      <c r="D178" s="4">
        <v>7120.95</v>
      </c>
      <c r="E178" s="5">
        <f t="shared" si="2"/>
        <v>-27387.210000000003</v>
      </c>
    </row>
    <row r="179" spans="1:5" x14ac:dyDescent="0.3">
      <c r="A179" s="2" t="s">
        <v>357</v>
      </c>
      <c r="B179" s="2" t="s">
        <v>358</v>
      </c>
      <c r="C179" s="4">
        <v>0</v>
      </c>
      <c r="D179" s="4">
        <v>1262.712</v>
      </c>
      <c r="E179" s="5">
        <f t="shared" si="2"/>
        <v>1262.712</v>
      </c>
    </row>
    <row r="180" spans="1:5" x14ac:dyDescent="0.3">
      <c r="A180" s="2" t="s">
        <v>359</v>
      </c>
      <c r="B180" s="2" t="s">
        <v>360</v>
      </c>
      <c r="C180" s="4">
        <v>27758.222000000002</v>
      </c>
      <c r="D180" s="4">
        <v>34511.466</v>
      </c>
      <c r="E180" s="5">
        <f t="shared" si="2"/>
        <v>6753.2439999999988</v>
      </c>
    </row>
    <row r="181" spans="1:5" x14ac:dyDescent="0.3">
      <c r="A181" s="2" t="s">
        <v>361</v>
      </c>
      <c r="B181" s="2" t="s">
        <v>362</v>
      </c>
      <c r="C181" s="4">
        <v>194548.42600000001</v>
      </c>
      <c r="D181" s="4">
        <v>178204.35699999999</v>
      </c>
      <c r="E181" s="5">
        <f t="shared" si="2"/>
        <v>-16344.069000000018</v>
      </c>
    </row>
    <row r="182" spans="1:5" x14ac:dyDescent="0.3">
      <c r="A182" s="2" t="s">
        <v>363</v>
      </c>
      <c r="B182" s="2" t="s">
        <v>364</v>
      </c>
      <c r="C182" s="4">
        <v>-35269.375</v>
      </c>
      <c r="D182" s="4">
        <v>0</v>
      </c>
      <c r="E182" s="5">
        <f t="shared" si="2"/>
        <v>35269.375</v>
      </c>
    </row>
    <row r="183" spans="1:5" x14ac:dyDescent="0.3">
      <c r="A183" s="2" t="s">
        <v>365</v>
      </c>
      <c r="B183" s="2" t="s">
        <v>366</v>
      </c>
      <c r="C183" s="4">
        <v>1293333.24</v>
      </c>
      <c r="D183" s="4">
        <v>0</v>
      </c>
      <c r="E183" s="5">
        <f t="shared" si="2"/>
        <v>-1293333.24</v>
      </c>
    </row>
    <row r="184" spans="1:5" x14ac:dyDescent="0.3">
      <c r="A184" s="2" t="s">
        <v>367</v>
      </c>
      <c r="B184" s="2" t="s">
        <v>368</v>
      </c>
      <c r="C184" s="4">
        <v>166.387</v>
      </c>
      <c r="D184" s="4">
        <v>0</v>
      </c>
      <c r="E184" s="5">
        <f t="shared" si="2"/>
        <v>-166.387</v>
      </c>
    </row>
    <row r="185" spans="1:5" x14ac:dyDescent="0.3">
      <c r="A185" s="2" t="s">
        <v>369</v>
      </c>
      <c r="B185" s="2" t="s">
        <v>370</v>
      </c>
      <c r="C185" s="4">
        <v>253121.42199999999</v>
      </c>
      <c r="D185" s="4">
        <v>263922.24699999997</v>
      </c>
      <c r="E185" s="5">
        <f t="shared" si="2"/>
        <v>10800.824999999983</v>
      </c>
    </row>
    <row r="186" spans="1:5" x14ac:dyDescent="0.3">
      <c r="A186" s="2" t="s">
        <v>371</v>
      </c>
      <c r="B186" s="2" t="s">
        <v>372</v>
      </c>
      <c r="C186" s="4">
        <v>600</v>
      </c>
      <c r="D186" s="4">
        <v>600</v>
      </c>
      <c r="E186" s="5">
        <f t="shared" si="2"/>
        <v>0</v>
      </c>
    </row>
    <row r="187" spans="1:5" x14ac:dyDescent="0.3">
      <c r="A187" s="2" t="s">
        <v>373</v>
      </c>
      <c r="B187" s="2" t="s">
        <v>374</v>
      </c>
      <c r="C187" s="4">
        <v>58550.891000000003</v>
      </c>
      <c r="D187" s="4">
        <v>77694.247000000003</v>
      </c>
      <c r="E187" s="5">
        <f t="shared" si="2"/>
        <v>19143.356</v>
      </c>
    </row>
    <row r="188" spans="1:5" x14ac:dyDescent="0.3">
      <c r="A188" s="2" t="s">
        <v>375</v>
      </c>
      <c r="B188" s="2" t="s">
        <v>376</v>
      </c>
      <c r="C188" s="4">
        <v>2748.6590000000001</v>
      </c>
      <c r="D188" s="4">
        <v>4145.5619999999999</v>
      </c>
      <c r="E188" s="5">
        <f t="shared" si="2"/>
        <v>1396.9029999999998</v>
      </c>
    </row>
    <row r="189" spans="1:5" x14ac:dyDescent="0.3">
      <c r="A189" s="2" t="s">
        <v>377</v>
      </c>
      <c r="B189" s="2" t="s">
        <v>378</v>
      </c>
      <c r="C189" s="4">
        <v>6808.5770000000002</v>
      </c>
      <c r="D189" s="4">
        <v>4932.6850000000004</v>
      </c>
      <c r="E189" s="5">
        <f t="shared" si="2"/>
        <v>-1875.8919999999998</v>
      </c>
    </row>
    <row r="190" spans="1:5" x14ac:dyDescent="0.3">
      <c r="A190" s="2" t="s">
        <v>379</v>
      </c>
      <c r="B190" s="2" t="s">
        <v>380</v>
      </c>
      <c r="C190" s="4">
        <v>7747.2709999999997</v>
      </c>
      <c r="D190" s="4">
        <v>2806</v>
      </c>
      <c r="E190" s="5">
        <f t="shared" si="2"/>
        <v>-4941.2709999999997</v>
      </c>
    </row>
    <row r="191" spans="1:5" x14ac:dyDescent="0.3">
      <c r="A191" s="2" t="s">
        <v>381</v>
      </c>
      <c r="B191" s="2" t="s">
        <v>382</v>
      </c>
      <c r="C191" s="4">
        <v>8707.6</v>
      </c>
      <c r="D191" s="4">
        <v>14048.177</v>
      </c>
      <c r="E191" s="5">
        <f t="shared" si="2"/>
        <v>5340.5769999999993</v>
      </c>
    </row>
    <row r="192" spans="1:5" x14ac:dyDescent="0.3">
      <c r="A192" s="2" t="s">
        <v>383</v>
      </c>
      <c r="B192" s="2" t="s">
        <v>384</v>
      </c>
      <c r="C192" s="4">
        <v>7831.1660000000002</v>
      </c>
      <c r="D192" s="4">
        <v>10338.731</v>
      </c>
      <c r="E192" s="5">
        <f t="shared" si="2"/>
        <v>2507.5649999999996</v>
      </c>
    </row>
    <row r="193" spans="1:5" x14ac:dyDescent="0.3">
      <c r="A193" s="2" t="s">
        <v>385</v>
      </c>
      <c r="B193" s="2" t="s">
        <v>386</v>
      </c>
      <c r="C193" s="4">
        <v>39438.171000000002</v>
      </c>
      <c r="D193" s="4">
        <v>32494.951000000001</v>
      </c>
      <c r="E193" s="5">
        <f t="shared" si="2"/>
        <v>-6943.2200000000012</v>
      </c>
    </row>
    <row r="194" spans="1:5" x14ac:dyDescent="0.3">
      <c r="A194" s="2" t="s">
        <v>387</v>
      </c>
      <c r="B194" s="2" t="s">
        <v>388</v>
      </c>
      <c r="C194" s="4">
        <v>10094.200000000001</v>
      </c>
      <c r="D194" s="4">
        <v>10094.200000000001</v>
      </c>
      <c r="E194" s="5">
        <f t="shared" si="2"/>
        <v>0</v>
      </c>
    </row>
    <row r="195" spans="1:5" x14ac:dyDescent="0.3">
      <c r="A195" s="2" t="s">
        <v>389</v>
      </c>
      <c r="B195" s="2" t="s">
        <v>390</v>
      </c>
      <c r="C195" s="4">
        <v>64</v>
      </c>
      <c r="D195" s="4">
        <v>64</v>
      </c>
      <c r="E195" s="5">
        <f t="shared" ref="E195:E258" si="3">+D195-C195</f>
        <v>0</v>
      </c>
    </row>
    <row r="196" spans="1:5" x14ac:dyDescent="0.3">
      <c r="A196" s="2" t="s">
        <v>391</v>
      </c>
      <c r="B196" s="2" t="s">
        <v>392</v>
      </c>
      <c r="C196" s="4">
        <v>703.14300000000003</v>
      </c>
      <c r="D196" s="4">
        <v>410.36599999999999</v>
      </c>
      <c r="E196" s="5">
        <f t="shared" si="3"/>
        <v>-292.77700000000004</v>
      </c>
    </row>
    <row r="197" spans="1:5" x14ac:dyDescent="0.3">
      <c r="A197" s="2" t="s">
        <v>393</v>
      </c>
      <c r="B197" s="2" t="s">
        <v>394</v>
      </c>
      <c r="C197" s="4">
        <v>15084</v>
      </c>
      <c r="D197" s="4">
        <v>15065</v>
      </c>
      <c r="E197" s="5">
        <f t="shared" si="3"/>
        <v>-19</v>
      </c>
    </row>
    <row r="198" spans="1:5" x14ac:dyDescent="0.3">
      <c r="A198" s="2" t="s">
        <v>395</v>
      </c>
      <c r="B198" s="2" t="s">
        <v>396</v>
      </c>
      <c r="C198" s="4">
        <v>4884.6670000000004</v>
      </c>
      <c r="D198" s="4">
        <v>6920.1660000000002</v>
      </c>
      <c r="E198" s="5">
        <f t="shared" si="3"/>
        <v>2035.4989999999998</v>
      </c>
    </row>
    <row r="199" spans="1:5" x14ac:dyDescent="0.3">
      <c r="A199" s="2" t="s">
        <v>397</v>
      </c>
      <c r="B199" s="2" t="s">
        <v>398</v>
      </c>
      <c r="C199" s="4">
        <v>7190.4610000000002</v>
      </c>
      <c r="D199" s="4">
        <v>19791.356</v>
      </c>
      <c r="E199" s="5">
        <f t="shared" si="3"/>
        <v>12600.895</v>
      </c>
    </row>
    <row r="200" spans="1:5" x14ac:dyDescent="0.3">
      <c r="A200" s="2" t="s">
        <v>399</v>
      </c>
      <c r="B200" s="2" t="s">
        <v>400</v>
      </c>
      <c r="C200" s="4">
        <v>4559.2470000000003</v>
      </c>
      <c r="D200" s="4">
        <v>3791.49</v>
      </c>
      <c r="E200" s="5">
        <f t="shared" si="3"/>
        <v>-767.75700000000052</v>
      </c>
    </row>
    <row r="201" spans="1:5" x14ac:dyDescent="0.3">
      <c r="A201" s="2" t="s">
        <v>401</v>
      </c>
      <c r="B201" s="2" t="s">
        <v>402</v>
      </c>
      <c r="C201" s="4">
        <v>16.3</v>
      </c>
      <c r="D201" s="4">
        <v>9.5</v>
      </c>
      <c r="E201" s="5">
        <f t="shared" si="3"/>
        <v>-6.8000000000000007</v>
      </c>
    </row>
    <row r="202" spans="1:5" x14ac:dyDescent="0.3">
      <c r="A202" s="2" t="s">
        <v>403</v>
      </c>
      <c r="B202" s="2" t="s">
        <v>404</v>
      </c>
      <c r="C202" s="4">
        <v>90636.441999999995</v>
      </c>
      <c r="D202" s="4">
        <v>54945.408000000003</v>
      </c>
      <c r="E202" s="5">
        <f t="shared" si="3"/>
        <v>-35691.033999999992</v>
      </c>
    </row>
    <row r="203" spans="1:5" x14ac:dyDescent="0.3">
      <c r="A203" s="2" t="s">
        <v>405</v>
      </c>
      <c r="B203" s="2" t="s">
        <v>406</v>
      </c>
      <c r="C203" s="4">
        <v>161280</v>
      </c>
      <c r="D203" s="4">
        <v>169320</v>
      </c>
      <c r="E203" s="5">
        <f t="shared" si="3"/>
        <v>8040</v>
      </c>
    </row>
    <row r="204" spans="1:5" x14ac:dyDescent="0.3">
      <c r="A204" s="2" t="s">
        <v>407</v>
      </c>
      <c r="B204" s="2" t="s">
        <v>408</v>
      </c>
      <c r="C204" s="4">
        <v>6152.41</v>
      </c>
      <c r="D204" s="4">
        <v>31459.91</v>
      </c>
      <c r="E204" s="5">
        <f t="shared" si="3"/>
        <v>25307.5</v>
      </c>
    </row>
    <row r="205" spans="1:5" x14ac:dyDescent="0.3">
      <c r="A205" s="2" t="s">
        <v>409</v>
      </c>
      <c r="B205" s="2" t="s">
        <v>410</v>
      </c>
      <c r="C205" s="4">
        <v>105962.542</v>
      </c>
      <c r="D205" s="4">
        <v>130405.81299999999</v>
      </c>
      <c r="E205" s="5">
        <f t="shared" si="3"/>
        <v>24443.270999999993</v>
      </c>
    </row>
    <row r="206" spans="1:5" x14ac:dyDescent="0.3">
      <c r="A206" s="2" t="s">
        <v>411</v>
      </c>
      <c r="B206" s="2" t="s">
        <v>412</v>
      </c>
      <c r="C206" s="4">
        <v>7800</v>
      </c>
      <c r="D206" s="4">
        <v>28110</v>
      </c>
      <c r="E206" s="5">
        <f t="shared" si="3"/>
        <v>20310</v>
      </c>
    </row>
    <row r="207" spans="1:5" x14ac:dyDescent="0.3">
      <c r="A207" s="2" t="s">
        <v>413</v>
      </c>
      <c r="B207" s="2" t="s">
        <v>414</v>
      </c>
      <c r="C207" s="4">
        <v>27419.073</v>
      </c>
      <c r="D207" s="4">
        <v>26404.745999999999</v>
      </c>
      <c r="E207" s="5">
        <f t="shared" si="3"/>
        <v>-1014.3270000000011</v>
      </c>
    </row>
    <row r="208" spans="1:5" x14ac:dyDescent="0.3">
      <c r="A208" s="2" t="s">
        <v>415</v>
      </c>
      <c r="B208" s="2" t="s">
        <v>416</v>
      </c>
      <c r="C208" s="4">
        <v>2700</v>
      </c>
      <c r="D208" s="4">
        <v>8100</v>
      </c>
      <c r="E208" s="5">
        <f t="shared" si="3"/>
        <v>5400</v>
      </c>
    </row>
    <row r="209" spans="1:5" x14ac:dyDescent="0.3">
      <c r="A209" s="2" t="s">
        <v>417</v>
      </c>
      <c r="B209" s="2" t="s">
        <v>418</v>
      </c>
      <c r="C209" s="4">
        <v>34293.550000000003</v>
      </c>
      <c r="D209" s="4">
        <v>168322.24400000001</v>
      </c>
      <c r="E209" s="5">
        <f t="shared" si="3"/>
        <v>134028.69400000002</v>
      </c>
    </row>
    <row r="210" spans="1:5" x14ac:dyDescent="0.3">
      <c r="A210" s="2" t="s">
        <v>419</v>
      </c>
      <c r="B210" s="2" t="s">
        <v>420</v>
      </c>
      <c r="C210" s="4">
        <v>49410.267</v>
      </c>
      <c r="D210" s="4">
        <v>20154.207999999999</v>
      </c>
      <c r="E210" s="5">
        <f t="shared" si="3"/>
        <v>-29256.059000000001</v>
      </c>
    </row>
    <row r="211" spans="1:5" x14ac:dyDescent="0.3">
      <c r="A211" s="2" t="s">
        <v>421</v>
      </c>
      <c r="B211" s="2" t="s">
        <v>422</v>
      </c>
      <c r="C211" s="4">
        <v>6501.07</v>
      </c>
      <c r="D211" s="4">
        <v>102560</v>
      </c>
      <c r="E211" s="5">
        <f t="shared" si="3"/>
        <v>96058.93</v>
      </c>
    </row>
    <row r="212" spans="1:5" x14ac:dyDescent="0.3">
      <c r="A212" s="2" t="s">
        <v>423</v>
      </c>
      <c r="B212" s="2" t="s">
        <v>424</v>
      </c>
      <c r="C212" s="4">
        <v>311064.16499999998</v>
      </c>
      <c r="D212" s="4">
        <v>7758.8789999999999</v>
      </c>
      <c r="E212" s="5">
        <f t="shared" si="3"/>
        <v>-303305.28599999996</v>
      </c>
    </row>
    <row r="213" spans="1:5" x14ac:dyDescent="0.3">
      <c r="A213" s="2" t="s">
        <v>425</v>
      </c>
      <c r="B213" s="2" t="s">
        <v>426</v>
      </c>
      <c r="C213" s="4">
        <v>16476</v>
      </c>
      <c r="D213" s="4">
        <v>13644.790999999999</v>
      </c>
      <c r="E213" s="5">
        <f t="shared" si="3"/>
        <v>-2831.2090000000007</v>
      </c>
    </row>
    <row r="214" spans="1:5" x14ac:dyDescent="0.3">
      <c r="A214" s="2" t="s">
        <v>427</v>
      </c>
      <c r="B214" s="2" t="s">
        <v>428</v>
      </c>
      <c r="C214" s="4">
        <v>19913.86</v>
      </c>
      <c r="D214" s="4">
        <v>22127.11</v>
      </c>
      <c r="E214" s="5">
        <f t="shared" si="3"/>
        <v>2213.25</v>
      </c>
    </row>
    <row r="215" spans="1:5" x14ac:dyDescent="0.3">
      <c r="A215" s="2" t="s">
        <v>429</v>
      </c>
      <c r="B215" s="2" t="s">
        <v>430</v>
      </c>
      <c r="C215" s="4">
        <v>26830.591</v>
      </c>
      <c r="D215" s="4">
        <v>8756.7639999999992</v>
      </c>
      <c r="E215" s="5">
        <f t="shared" si="3"/>
        <v>-18073.827000000001</v>
      </c>
    </row>
    <row r="216" spans="1:5" x14ac:dyDescent="0.3">
      <c r="A216" s="2" t="s">
        <v>431</v>
      </c>
      <c r="B216" s="2" t="s">
        <v>432</v>
      </c>
      <c r="C216" s="4">
        <v>190</v>
      </c>
      <c r="D216" s="4">
        <v>0</v>
      </c>
      <c r="E216" s="5">
        <f t="shared" si="3"/>
        <v>-190</v>
      </c>
    </row>
    <row r="217" spans="1:5" x14ac:dyDescent="0.3">
      <c r="A217" s="2" t="s">
        <v>433</v>
      </c>
      <c r="B217" s="2" t="s">
        <v>434</v>
      </c>
      <c r="C217" s="4">
        <v>570.5</v>
      </c>
      <c r="D217" s="4">
        <v>831.78899999999999</v>
      </c>
      <c r="E217" s="5">
        <f t="shared" si="3"/>
        <v>261.28899999999999</v>
      </c>
    </row>
    <row r="218" spans="1:5" x14ac:dyDescent="0.3">
      <c r="A218" s="2" t="s">
        <v>435</v>
      </c>
      <c r="B218" s="2" t="s">
        <v>436</v>
      </c>
      <c r="C218" s="4">
        <v>763.36300000000006</v>
      </c>
      <c r="D218" s="4">
        <v>832.95899999999995</v>
      </c>
      <c r="E218" s="5">
        <f t="shared" si="3"/>
        <v>69.59599999999989</v>
      </c>
    </row>
    <row r="219" spans="1:5" x14ac:dyDescent="0.3">
      <c r="A219" s="2" t="s">
        <v>437</v>
      </c>
      <c r="B219" s="2" t="s">
        <v>438</v>
      </c>
      <c r="C219" s="4">
        <v>32746.143</v>
      </c>
      <c r="D219" s="4">
        <v>1421</v>
      </c>
      <c r="E219" s="5">
        <f t="shared" si="3"/>
        <v>-31325.143</v>
      </c>
    </row>
    <row r="220" spans="1:5" x14ac:dyDescent="0.3">
      <c r="A220" s="2" t="s">
        <v>439</v>
      </c>
      <c r="B220" s="2" t="s">
        <v>440</v>
      </c>
      <c r="C220" s="4">
        <v>13604.196</v>
      </c>
      <c r="D220" s="4">
        <v>0</v>
      </c>
      <c r="E220" s="5">
        <f t="shared" si="3"/>
        <v>-13604.196</v>
      </c>
    </row>
    <row r="221" spans="1:5" x14ac:dyDescent="0.3">
      <c r="A221" s="2" t="s">
        <v>441</v>
      </c>
      <c r="B221" s="2" t="s">
        <v>442</v>
      </c>
      <c r="C221" s="4">
        <v>4121.8720000000003</v>
      </c>
      <c r="D221" s="4">
        <v>3203.1260000000002</v>
      </c>
      <c r="E221" s="5">
        <f t="shared" si="3"/>
        <v>-918.74600000000009</v>
      </c>
    </row>
    <row r="222" spans="1:5" x14ac:dyDescent="0.3">
      <c r="A222" s="2" t="s">
        <v>443</v>
      </c>
      <c r="B222" s="2" t="s">
        <v>444</v>
      </c>
      <c r="C222" s="4">
        <v>1579.33</v>
      </c>
      <c r="D222" s="4">
        <v>3559.8180000000002</v>
      </c>
      <c r="E222" s="5">
        <f t="shared" si="3"/>
        <v>1980.4880000000003</v>
      </c>
    </row>
    <row r="223" spans="1:5" x14ac:dyDescent="0.3">
      <c r="A223" s="2" t="s">
        <v>445</v>
      </c>
      <c r="B223" s="2" t="s">
        <v>446</v>
      </c>
      <c r="C223" s="4">
        <v>24800</v>
      </c>
      <c r="D223" s="4">
        <v>28000</v>
      </c>
      <c r="E223" s="5">
        <f t="shared" si="3"/>
        <v>3200</v>
      </c>
    </row>
    <row r="224" spans="1:5" x14ac:dyDescent="0.3">
      <c r="A224" s="2" t="s">
        <v>447</v>
      </c>
      <c r="B224" s="2" t="s">
        <v>448</v>
      </c>
      <c r="C224" s="4">
        <v>3524.8249999999998</v>
      </c>
      <c r="D224" s="4">
        <v>2321.3000000000002</v>
      </c>
      <c r="E224" s="5">
        <f t="shared" si="3"/>
        <v>-1203.5249999999996</v>
      </c>
    </row>
    <row r="225" spans="1:5" x14ac:dyDescent="0.3">
      <c r="A225" s="2" t="s">
        <v>449</v>
      </c>
      <c r="B225" s="2" t="s">
        <v>450</v>
      </c>
      <c r="C225" s="4">
        <v>43.55</v>
      </c>
      <c r="D225" s="4">
        <v>283.2</v>
      </c>
      <c r="E225" s="5">
        <f t="shared" si="3"/>
        <v>239.64999999999998</v>
      </c>
    </row>
    <row r="226" spans="1:5" x14ac:dyDescent="0.3">
      <c r="A226" s="2" t="s">
        <v>451</v>
      </c>
      <c r="B226" s="2" t="s">
        <v>452</v>
      </c>
      <c r="C226" s="4">
        <v>4242.9560000000001</v>
      </c>
      <c r="D226" s="4">
        <v>3007.4810000000002</v>
      </c>
      <c r="E226" s="5">
        <f t="shared" si="3"/>
        <v>-1235.4749999999999</v>
      </c>
    </row>
    <row r="227" spans="1:5" x14ac:dyDescent="0.3">
      <c r="A227" s="2" t="s">
        <v>453</v>
      </c>
      <c r="B227" s="2" t="s">
        <v>454</v>
      </c>
      <c r="C227" s="4">
        <v>0</v>
      </c>
      <c r="D227" s="4">
        <v>0</v>
      </c>
      <c r="E227" s="5">
        <f t="shared" si="3"/>
        <v>0</v>
      </c>
    </row>
    <row r="228" spans="1:5" x14ac:dyDescent="0.3">
      <c r="A228" s="2" t="s">
        <v>455</v>
      </c>
      <c r="B228" s="2" t="s">
        <v>456</v>
      </c>
      <c r="C228" s="4">
        <v>3279.7440000000001</v>
      </c>
      <c r="D228" s="4">
        <v>3633.8960000000002</v>
      </c>
      <c r="E228" s="5">
        <f t="shared" si="3"/>
        <v>354.15200000000004</v>
      </c>
    </row>
    <row r="229" spans="1:5" x14ac:dyDescent="0.3">
      <c r="A229" s="2" t="s">
        <v>457</v>
      </c>
      <c r="B229" s="2" t="s">
        <v>458</v>
      </c>
      <c r="C229" s="4">
        <v>29.343</v>
      </c>
      <c r="D229" s="4">
        <v>110.84099999999999</v>
      </c>
      <c r="E229" s="5">
        <f t="shared" si="3"/>
        <v>81.49799999999999</v>
      </c>
    </row>
    <row r="230" spans="1:5" x14ac:dyDescent="0.3">
      <c r="A230" s="2" t="s">
        <v>459</v>
      </c>
      <c r="B230" s="2" t="s">
        <v>460</v>
      </c>
      <c r="C230" s="4">
        <v>1511.808</v>
      </c>
      <c r="D230" s="4">
        <v>2139.5569999999998</v>
      </c>
      <c r="E230" s="5">
        <f t="shared" si="3"/>
        <v>627.7489999999998</v>
      </c>
    </row>
    <row r="231" spans="1:5" x14ac:dyDescent="0.3">
      <c r="A231" s="2" t="s">
        <v>461</v>
      </c>
      <c r="B231" s="2" t="s">
        <v>462</v>
      </c>
      <c r="C231" s="4">
        <v>8310.1949999999997</v>
      </c>
      <c r="D231" s="4">
        <v>8446.1360000000004</v>
      </c>
      <c r="E231" s="5">
        <f t="shared" si="3"/>
        <v>135.94100000000071</v>
      </c>
    </row>
    <row r="232" spans="1:5" x14ac:dyDescent="0.3">
      <c r="A232" s="2" t="s">
        <v>463</v>
      </c>
      <c r="B232" s="2" t="s">
        <v>464</v>
      </c>
      <c r="C232" s="4">
        <v>17891.653999999999</v>
      </c>
      <c r="D232" s="4">
        <v>15255.884</v>
      </c>
      <c r="E232" s="5">
        <f t="shared" si="3"/>
        <v>-2635.7699999999986</v>
      </c>
    </row>
    <row r="233" spans="1:5" x14ac:dyDescent="0.3">
      <c r="A233" s="2" t="s">
        <v>465</v>
      </c>
      <c r="B233" s="2" t="s">
        <v>466</v>
      </c>
      <c r="C233" s="4">
        <v>2344.1680000000001</v>
      </c>
      <c r="D233" s="4">
        <v>721.755</v>
      </c>
      <c r="E233" s="5">
        <f t="shared" si="3"/>
        <v>-1622.413</v>
      </c>
    </row>
    <row r="234" spans="1:5" x14ac:dyDescent="0.3">
      <c r="A234" s="2" t="s">
        <v>467</v>
      </c>
      <c r="B234" s="2" t="s">
        <v>468</v>
      </c>
      <c r="C234" s="4">
        <v>76111.663</v>
      </c>
      <c r="D234" s="4">
        <v>42408.175000000003</v>
      </c>
      <c r="E234" s="5">
        <f t="shared" si="3"/>
        <v>-33703.487999999998</v>
      </c>
    </row>
    <row r="235" spans="1:5" x14ac:dyDescent="0.3">
      <c r="A235" s="2" t="s">
        <v>469</v>
      </c>
      <c r="B235" s="2" t="s">
        <v>470</v>
      </c>
      <c r="C235" s="4">
        <v>20400</v>
      </c>
      <c r="D235" s="4">
        <v>25488.983</v>
      </c>
      <c r="E235" s="5">
        <f t="shared" si="3"/>
        <v>5088.9830000000002</v>
      </c>
    </row>
    <row r="236" spans="1:5" x14ac:dyDescent="0.3">
      <c r="A236" s="2" t="s">
        <v>471</v>
      </c>
      <c r="B236" s="2" t="s">
        <v>472</v>
      </c>
      <c r="C236" s="4">
        <v>31250</v>
      </c>
      <c r="D236" s="4">
        <v>57500</v>
      </c>
      <c r="E236" s="5">
        <f t="shared" si="3"/>
        <v>26250</v>
      </c>
    </row>
    <row r="237" spans="1:5" x14ac:dyDescent="0.3">
      <c r="A237" s="2" t="s">
        <v>473</v>
      </c>
      <c r="B237" s="2" t="s">
        <v>474</v>
      </c>
      <c r="C237" s="4">
        <v>14166.666999999999</v>
      </c>
      <c r="D237" s="4">
        <v>0</v>
      </c>
      <c r="E237" s="5">
        <f t="shared" si="3"/>
        <v>-14166.666999999999</v>
      </c>
    </row>
    <row r="238" spans="1:5" x14ac:dyDescent="0.3">
      <c r="A238" s="2" t="s">
        <v>475</v>
      </c>
      <c r="B238" s="2" t="s">
        <v>476</v>
      </c>
      <c r="C238" s="4">
        <v>1829.7339999999999</v>
      </c>
      <c r="D238" s="4">
        <v>33579.955000000002</v>
      </c>
      <c r="E238" s="5">
        <f t="shared" si="3"/>
        <v>31750.221000000001</v>
      </c>
    </row>
    <row r="239" spans="1:5" x14ac:dyDescent="0.3">
      <c r="A239" s="2" t="s">
        <v>477</v>
      </c>
      <c r="B239" s="2" t="s">
        <v>478</v>
      </c>
      <c r="C239" s="4">
        <v>12228.25</v>
      </c>
      <c r="D239" s="4">
        <v>6350.491</v>
      </c>
      <c r="E239" s="5">
        <f t="shared" si="3"/>
        <v>-5877.759</v>
      </c>
    </row>
    <row r="240" spans="1:5" x14ac:dyDescent="0.3">
      <c r="A240" s="2" t="s">
        <v>479</v>
      </c>
      <c r="B240" s="2" t="s">
        <v>480</v>
      </c>
      <c r="C240" s="4">
        <v>0</v>
      </c>
      <c r="D240" s="4">
        <v>25034.931</v>
      </c>
      <c r="E240" s="5">
        <f t="shared" si="3"/>
        <v>25034.931</v>
      </c>
    </row>
    <row r="241" spans="1:5" x14ac:dyDescent="0.3">
      <c r="A241" s="2" t="s">
        <v>481</v>
      </c>
      <c r="B241" s="2" t="s">
        <v>482</v>
      </c>
      <c r="C241" s="4">
        <v>1727306.794</v>
      </c>
      <c r="D241" s="4">
        <v>1341532.4920000001</v>
      </c>
      <c r="E241" s="5">
        <f t="shared" si="3"/>
        <v>-385774.30199999991</v>
      </c>
    </row>
    <row r="242" spans="1:5" x14ac:dyDescent="0.3">
      <c r="A242" s="2" t="s">
        <v>483</v>
      </c>
      <c r="B242" s="2" t="s">
        <v>484</v>
      </c>
      <c r="C242" s="4">
        <v>-68030</v>
      </c>
      <c r="D242" s="4">
        <v>0</v>
      </c>
      <c r="E242" s="5">
        <f t="shared" si="3"/>
        <v>68030</v>
      </c>
    </row>
    <row r="243" spans="1:5" x14ac:dyDescent="0.3">
      <c r="A243" s="2" t="s">
        <v>485</v>
      </c>
      <c r="B243" s="2" t="s">
        <v>486</v>
      </c>
      <c r="C243" s="4">
        <v>0</v>
      </c>
      <c r="D243" s="4">
        <v>2400</v>
      </c>
      <c r="E243" s="5">
        <f t="shared" si="3"/>
        <v>2400</v>
      </c>
    </row>
    <row r="244" spans="1:5" x14ac:dyDescent="0.3">
      <c r="A244" s="2" t="s">
        <v>487</v>
      </c>
      <c r="B244" s="2" t="s">
        <v>488</v>
      </c>
      <c r="C244" s="4">
        <v>60446.436999999998</v>
      </c>
      <c r="D244" s="4">
        <v>144478.71799999999</v>
      </c>
      <c r="E244" s="5">
        <f t="shared" si="3"/>
        <v>84032.280999999988</v>
      </c>
    </row>
    <row r="245" spans="1:5" x14ac:dyDescent="0.3">
      <c r="A245" s="2" t="s">
        <v>489</v>
      </c>
      <c r="B245" s="2" t="s">
        <v>490</v>
      </c>
      <c r="C245" s="4">
        <v>45758.588000000003</v>
      </c>
      <c r="D245" s="4">
        <v>0</v>
      </c>
      <c r="E245" s="5">
        <f t="shared" si="3"/>
        <v>-45758.588000000003</v>
      </c>
    </row>
    <row r="246" spans="1:5" x14ac:dyDescent="0.3">
      <c r="A246" s="2" t="s">
        <v>491</v>
      </c>
      <c r="B246" s="2" t="s">
        <v>490</v>
      </c>
      <c r="C246" s="4">
        <v>-33105.014000000003</v>
      </c>
      <c r="D246" s="4">
        <v>0</v>
      </c>
      <c r="E246" s="5">
        <f t="shared" si="3"/>
        <v>33105.014000000003</v>
      </c>
    </row>
    <row r="247" spans="1:5" x14ac:dyDescent="0.3">
      <c r="A247" s="2" t="s">
        <v>492</v>
      </c>
      <c r="B247" s="2" t="s">
        <v>490</v>
      </c>
      <c r="C247" s="4">
        <v>0</v>
      </c>
      <c r="D247" s="4">
        <v>22116.787</v>
      </c>
      <c r="E247" s="5">
        <f t="shared" si="3"/>
        <v>22116.787</v>
      </c>
    </row>
    <row r="248" spans="1:5" x14ac:dyDescent="0.3">
      <c r="A248" s="2" t="s">
        <v>493</v>
      </c>
      <c r="B248" s="2" t="s">
        <v>494</v>
      </c>
      <c r="C248" s="4">
        <v>294167.58500000002</v>
      </c>
      <c r="D248" s="4">
        <v>259654.90700000001</v>
      </c>
      <c r="E248" s="5">
        <f t="shared" si="3"/>
        <v>-34512.678000000014</v>
      </c>
    </row>
    <row r="249" spans="1:5" x14ac:dyDescent="0.3">
      <c r="A249" s="2" t="s">
        <v>495</v>
      </c>
      <c r="B249" s="2" t="s">
        <v>496</v>
      </c>
      <c r="C249" s="4">
        <v>38504.364000000001</v>
      </c>
      <c r="D249" s="4">
        <v>32150.942999999999</v>
      </c>
      <c r="E249" s="5">
        <f t="shared" si="3"/>
        <v>-6353.4210000000021</v>
      </c>
    </row>
    <row r="250" spans="1:5" x14ac:dyDescent="0.3">
      <c r="A250" s="2" t="s">
        <v>497</v>
      </c>
      <c r="B250" s="2" t="s">
        <v>498</v>
      </c>
      <c r="C250" s="4">
        <v>60550.904999999999</v>
      </c>
      <c r="D250" s="4">
        <v>64234.508000000002</v>
      </c>
      <c r="E250" s="5">
        <f t="shared" si="3"/>
        <v>3683.6030000000028</v>
      </c>
    </row>
    <row r="251" spans="1:5" x14ac:dyDescent="0.3">
      <c r="A251" s="2" t="s">
        <v>499</v>
      </c>
      <c r="B251" s="2" t="s">
        <v>500</v>
      </c>
      <c r="C251" s="4">
        <v>12000</v>
      </c>
      <c r="D251" s="4">
        <v>13000</v>
      </c>
      <c r="E251" s="5">
        <f t="shared" si="3"/>
        <v>1000</v>
      </c>
    </row>
    <row r="252" spans="1:5" x14ac:dyDescent="0.3">
      <c r="A252" s="2" t="s">
        <v>501</v>
      </c>
      <c r="B252" s="2" t="s">
        <v>502</v>
      </c>
      <c r="C252" s="4">
        <v>651569.41299999994</v>
      </c>
      <c r="D252" s="4">
        <v>763232.53</v>
      </c>
      <c r="E252" s="5">
        <f t="shared" si="3"/>
        <v>111663.11700000009</v>
      </c>
    </row>
    <row r="253" spans="1:5" x14ac:dyDescent="0.3">
      <c r="A253" s="2" t="s">
        <v>503</v>
      </c>
      <c r="B253" s="2" t="s">
        <v>504</v>
      </c>
      <c r="C253" s="4">
        <v>528779.82499999995</v>
      </c>
      <c r="D253" s="4">
        <v>418460.359</v>
      </c>
      <c r="E253" s="5">
        <f t="shared" si="3"/>
        <v>-110319.46599999996</v>
      </c>
    </row>
    <row r="254" spans="1:5" x14ac:dyDescent="0.3">
      <c r="A254" s="2" t="s">
        <v>505</v>
      </c>
      <c r="B254" s="2" t="s">
        <v>506</v>
      </c>
      <c r="C254" s="4">
        <v>30821.966</v>
      </c>
      <c r="D254" s="4">
        <v>151859.93400000001</v>
      </c>
      <c r="E254" s="5">
        <f t="shared" si="3"/>
        <v>121037.96800000001</v>
      </c>
    </row>
    <row r="255" spans="1:5" x14ac:dyDescent="0.3">
      <c r="A255" s="2" t="s">
        <v>507</v>
      </c>
      <c r="B255" s="2" t="s">
        <v>508</v>
      </c>
      <c r="C255" s="4">
        <v>0</v>
      </c>
      <c r="D255" s="4">
        <v>3240.67</v>
      </c>
      <c r="E255" s="5">
        <f t="shared" si="3"/>
        <v>3240.67</v>
      </c>
    </row>
    <row r="256" spans="1:5" x14ac:dyDescent="0.3">
      <c r="A256" s="2" t="s">
        <v>509</v>
      </c>
      <c r="B256" s="2" t="s">
        <v>510</v>
      </c>
      <c r="C256" s="4">
        <v>7191.57</v>
      </c>
      <c r="D256" s="4">
        <v>50367.249000000003</v>
      </c>
      <c r="E256" s="5">
        <f t="shared" si="3"/>
        <v>43175.679000000004</v>
      </c>
    </row>
    <row r="257" spans="1:5" x14ac:dyDescent="0.3">
      <c r="A257" s="2" t="s">
        <v>511</v>
      </c>
      <c r="B257" s="2" t="s">
        <v>512</v>
      </c>
      <c r="C257" s="4">
        <v>843528.36399999994</v>
      </c>
      <c r="D257" s="4">
        <v>198222.04300000001</v>
      </c>
      <c r="E257" s="5">
        <f t="shared" si="3"/>
        <v>-645306.321</v>
      </c>
    </row>
    <row r="258" spans="1:5" x14ac:dyDescent="0.3">
      <c r="A258" s="2" t="s">
        <v>513</v>
      </c>
      <c r="B258" s="2" t="s">
        <v>514</v>
      </c>
      <c r="C258" s="4">
        <v>0</v>
      </c>
      <c r="D258" s="4">
        <v>9045.4179999999997</v>
      </c>
      <c r="E258" s="5">
        <f t="shared" si="3"/>
        <v>9045.4179999999997</v>
      </c>
    </row>
    <row r="259" spans="1:5" x14ac:dyDescent="0.3">
      <c r="A259" s="2" t="s">
        <v>515</v>
      </c>
      <c r="B259" s="2" t="s">
        <v>516</v>
      </c>
      <c r="C259" s="4">
        <v>31485.858</v>
      </c>
      <c r="D259" s="4">
        <v>46850.624000000003</v>
      </c>
      <c r="E259" s="5">
        <f t="shared" ref="E259:E300" si="4">+D259-C259</f>
        <v>15364.766000000003</v>
      </c>
    </row>
    <row r="260" spans="1:5" x14ac:dyDescent="0.3">
      <c r="A260" s="2" t="s">
        <v>517</v>
      </c>
      <c r="B260" s="2" t="s">
        <v>518</v>
      </c>
      <c r="C260" s="4">
        <v>34966.601000000002</v>
      </c>
      <c r="D260" s="4">
        <v>30142.219000000001</v>
      </c>
      <c r="E260" s="5">
        <f t="shared" si="4"/>
        <v>-4824.3820000000014</v>
      </c>
    </row>
    <row r="261" spans="1:5" x14ac:dyDescent="0.3">
      <c r="A261" s="2" t="s">
        <v>519</v>
      </c>
      <c r="B261" s="2" t="s">
        <v>520</v>
      </c>
      <c r="C261" s="4">
        <v>17867.276999999998</v>
      </c>
      <c r="D261" s="4">
        <v>14438.105</v>
      </c>
      <c r="E261" s="5">
        <f t="shared" si="4"/>
        <v>-3429.1719999999987</v>
      </c>
    </row>
    <row r="262" spans="1:5" x14ac:dyDescent="0.3">
      <c r="A262" s="2" t="s">
        <v>521</v>
      </c>
      <c r="B262" s="2" t="s">
        <v>178</v>
      </c>
      <c r="C262" s="4">
        <v>88541.364000000001</v>
      </c>
      <c r="D262" s="4">
        <v>36669.129999999997</v>
      </c>
      <c r="E262" s="5">
        <f t="shared" si="4"/>
        <v>-51872.234000000004</v>
      </c>
    </row>
    <row r="263" spans="1:5" x14ac:dyDescent="0.3">
      <c r="A263" s="2" t="s">
        <v>522</v>
      </c>
      <c r="B263" s="2" t="s">
        <v>523</v>
      </c>
      <c r="C263" s="4">
        <v>1530.75</v>
      </c>
      <c r="D263" s="4">
        <v>1825</v>
      </c>
      <c r="E263" s="5">
        <f t="shared" si="4"/>
        <v>294.25</v>
      </c>
    </row>
    <row r="264" spans="1:5" x14ac:dyDescent="0.3">
      <c r="A264" s="2" t="s">
        <v>524</v>
      </c>
      <c r="B264" s="2" t="s">
        <v>525</v>
      </c>
      <c r="C264" s="4">
        <v>5838.6750000000002</v>
      </c>
      <c r="D264" s="4">
        <v>5958.5309999999999</v>
      </c>
      <c r="E264" s="5">
        <f t="shared" si="4"/>
        <v>119.85599999999977</v>
      </c>
    </row>
    <row r="265" spans="1:5" x14ac:dyDescent="0.3">
      <c r="A265" s="2" t="s">
        <v>526</v>
      </c>
      <c r="B265" s="2" t="s">
        <v>527</v>
      </c>
      <c r="C265" s="4">
        <v>3306.4050000000002</v>
      </c>
      <c r="D265" s="4">
        <v>2310</v>
      </c>
      <c r="E265" s="5">
        <f t="shared" si="4"/>
        <v>-996.4050000000002</v>
      </c>
    </row>
    <row r="266" spans="1:5" x14ac:dyDescent="0.3">
      <c r="A266" s="2" t="s">
        <v>528</v>
      </c>
      <c r="B266" s="2" t="s">
        <v>529</v>
      </c>
      <c r="C266" s="4">
        <v>1409.75</v>
      </c>
      <c r="D266" s="4">
        <v>1768.75</v>
      </c>
      <c r="E266" s="5">
        <f t="shared" si="4"/>
        <v>359</v>
      </c>
    </row>
    <row r="267" spans="1:5" x14ac:dyDescent="0.3">
      <c r="A267" s="2" t="s">
        <v>530</v>
      </c>
      <c r="B267" s="2" t="s">
        <v>531</v>
      </c>
      <c r="C267" s="4">
        <v>60</v>
      </c>
      <c r="D267" s="4">
        <v>0</v>
      </c>
      <c r="E267" s="5">
        <f t="shared" si="4"/>
        <v>-60</v>
      </c>
    </row>
    <row r="268" spans="1:5" x14ac:dyDescent="0.3">
      <c r="A268" s="2" t="s">
        <v>532</v>
      </c>
      <c r="B268" s="2" t="s">
        <v>533</v>
      </c>
      <c r="C268" s="4">
        <v>96670.86</v>
      </c>
      <c r="D268" s="4">
        <v>65042.75</v>
      </c>
      <c r="E268" s="5">
        <f t="shared" si="4"/>
        <v>-31628.11</v>
      </c>
    </row>
    <row r="269" spans="1:5" x14ac:dyDescent="0.3">
      <c r="A269" s="2" t="s">
        <v>534</v>
      </c>
      <c r="B269" s="2" t="s">
        <v>535</v>
      </c>
      <c r="C269" s="4">
        <v>1258.5229999999999</v>
      </c>
      <c r="D269" s="4">
        <v>986.06799999999998</v>
      </c>
      <c r="E269" s="5">
        <f t="shared" si="4"/>
        <v>-272.45499999999993</v>
      </c>
    </row>
    <row r="270" spans="1:5" x14ac:dyDescent="0.3">
      <c r="A270" s="2" t="s">
        <v>536</v>
      </c>
      <c r="B270" s="2" t="s">
        <v>537</v>
      </c>
      <c r="C270" s="4">
        <v>33693.51</v>
      </c>
      <c r="D270" s="4">
        <v>29059.637999999999</v>
      </c>
      <c r="E270" s="5">
        <f t="shared" si="4"/>
        <v>-4633.872000000003</v>
      </c>
    </row>
    <row r="271" spans="1:5" x14ac:dyDescent="0.3">
      <c r="A271" s="2" t="s">
        <v>538</v>
      </c>
      <c r="B271" s="2" t="s">
        <v>539</v>
      </c>
      <c r="C271" s="4">
        <v>4237.0889999999999</v>
      </c>
      <c r="D271" s="4">
        <v>3463.5079999999998</v>
      </c>
      <c r="E271" s="5">
        <f t="shared" si="4"/>
        <v>-773.58100000000013</v>
      </c>
    </row>
    <row r="272" spans="1:5" x14ac:dyDescent="0.3">
      <c r="A272" s="2" t="s">
        <v>540</v>
      </c>
      <c r="B272" s="2" t="s">
        <v>541</v>
      </c>
      <c r="C272" s="4">
        <v>19483.757000000001</v>
      </c>
      <c r="D272" s="4">
        <v>14009.152</v>
      </c>
      <c r="E272" s="5">
        <f t="shared" si="4"/>
        <v>-5474.6050000000014</v>
      </c>
    </row>
    <row r="273" spans="1:5" x14ac:dyDescent="0.3">
      <c r="A273" s="2" t="s">
        <v>542</v>
      </c>
      <c r="B273" s="2" t="s">
        <v>543</v>
      </c>
      <c r="C273" s="4">
        <v>12433</v>
      </c>
      <c r="D273" s="4">
        <v>0</v>
      </c>
      <c r="E273" s="5">
        <f t="shared" si="4"/>
        <v>-12433</v>
      </c>
    </row>
    <row r="274" spans="1:5" x14ac:dyDescent="0.3">
      <c r="A274" s="2" t="s">
        <v>544</v>
      </c>
      <c r="B274" s="2" t="s">
        <v>545</v>
      </c>
      <c r="C274" s="4">
        <v>0</v>
      </c>
      <c r="D274" s="4">
        <v>4406.5</v>
      </c>
      <c r="E274" s="5">
        <f t="shared" si="4"/>
        <v>4406.5</v>
      </c>
    </row>
    <row r="275" spans="1:5" x14ac:dyDescent="0.3">
      <c r="A275" s="2" t="s">
        <v>546</v>
      </c>
      <c r="B275" s="2" t="s">
        <v>547</v>
      </c>
      <c r="C275" s="4">
        <v>0</v>
      </c>
      <c r="D275" s="4">
        <v>196530.20499999999</v>
      </c>
      <c r="E275" s="5">
        <f t="shared" si="4"/>
        <v>196530.20499999999</v>
      </c>
    </row>
    <row r="276" spans="1:5" x14ac:dyDescent="0.3">
      <c r="A276" s="2" t="s">
        <v>548</v>
      </c>
      <c r="B276" s="2" t="s">
        <v>549</v>
      </c>
      <c r="C276" s="4">
        <v>98171.042000000001</v>
      </c>
      <c r="D276" s="4">
        <v>1170276.9140000001</v>
      </c>
      <c r="E276" s="5">
        <f t="shared" si="4"/>
        <v>1072105.8720000002</v>
      </c>
    </row>
    <row r="277" spans="1:5" x14ac:dyDescent="0.3">
      <c r="A277" s="2" t="s">
        <v>550</v>
      </c>
      <c r="B277" s="2" t="s">
        <v>551</v>
      </c>
      <c r="C277" s="4">
        <v>0</v>
      </c>
      <c r="D277" s="4">
        <v>25151.776999999998</v>
      </c>
      <c r="E277" s="5">
        <f t="shared" si="4"/>
        <v>25151.776999999998</v>
      </c>
    </row>
    <row r="278" spans="1:5" x14ac:dyDescent="0.3">
      <c r="A278" s="2" t="s">
        <v>552</v>
      </c>
      <c r="B278" s="2" t="s">
        <v>553</v>
      </c>
      <c r="C278" s="4">
        <v>0</v>
      </c>
      <c r="D278" s="4">
        <v>230000</v>
      </c>
      <c r="E278" s="5">
        <f t="shared" si="4"/>
        <v>230000</v>
      </c>
    </row>
    <row r="279" spans="1:5" x14ac:dyDescent="0.3">
      <c r="A279" s="2" t="s">
        <v>554</v>
      </c>
      <c r="B279" s="2" t="s">
        <v>555</v>
      </c>
      <c r="C279" s="4">
        <v>0</v>
      </c>
      <c r="D279" s="4">
        <v>135592.185</v>
      </c>
      <c r="E279" s="5">
        <f t="shared" si="4"/>
        <v>135592.185</v>
      </c>
    </row>
    <row r="280" spans="1:5" x14ac:dyDescent="0.3">
      <c r="A280" s="2" t="s">
        <v>556</v>
      </c>
      <c r="B280" s="2" t="s">
        <v>557</v>
      </c>
      <c r="C280" s="4">
        <v>-2819996.7689999999</v>
      </c>
      <c r="D280" s="4">
        <v>-2803512.9360000002</v>
      </c>
      <c r="E280" s="5">
        <f t="shared" si="4"/>
        <v>16483.832999999635</v>
      </c>
    </row>
    <row r="281" spans="1:5" x14ac:dyDescent="0.3">
      <c r="A281" s="2" t="s">
        <v>558</v>
      </c>
      <c r="B281" s="2" t="s">
        <v>559</v>
      </c>
      <c r="C281" s="4">
        <v>-469259.58500000002</v>
      </c>
      <c r="D281" s="4">
        <v>-419741.68599999999</v>
      </c>
      <c r="E281" s="5">
        <f t="shared" si="4"/>
        <v>49517.899000000034</v>
      </c>
    </row>
    <row r="282" spans="1:5" x14ac:dyDescent="0.3">
      <c r="A282" s="2" t="s">
        <v>560</v>
      </c>
      <c r="B282" s="2" t="s">
        <v>561</v>
      </c>
      <c r="C282" s="4">
        <v>-300527.74900000001</v>
      </c>
      <c r="D282" s="4">
        <v>-859989.804</v>
      </c>
      <c r="E282" s="5">
        <f t="shared" si="4"/>
        <v>-559462.05499999993</v>
      </c>
    </row>
    <row r="283" spans="1:5" x14ac:dyDescent="0.3">
      <c r="A283" s="2" t="s">
        <v>562</v>
      </c>
      <c r="B283" s="2" t="s">
        <v>563</v>
      </c>
      <c r="C283" s="4">
        <v>-58041719.528999999</v>
      </c>
      <c r="D283" s="4">
        <v>-51490523.763999999</v>
      </c>
      <c r="E283" s="5">
        <f t="shared" si="4"/>
        <v>6551195.7650000006</v>
      </c>
    </row>
    <row r="284" spans="1:5" x14ac:dyDescent="0.3">
      <c r="A284" s="2" t="s">
        <v>564</v>
      </c>
      <c r="B284" s="2" t="s">
        <v>565</v>
      </c>
      <c r="C284" s="4">
        <v>-181747</v>
      </c>
      <c r="D284" s="4">
        <v>-132472.071</v>
      </c>
      <c r="E284" s="5">
        <f t="shared" si="4"/>
        <v>49274.929000000004</v>
      </c>
    </row>
    <row r="285" spans="1:5" x14ac:dyDescent="0.3">
      <c r="A285" s="2" t="s">
        <v>566</v>
      </c>
      <c r="B285" s="2" t="s">
        <v>567</v>
      </c>
      <c r="C285" s="4">
        <v>0</v>
      </c>
      <c r="D285" s="4">
        <v>0</v>
      </c>
      <c r="E285" s="5">
        <f t="shared" si="4"/>
        <v>0</v>
      </c>
    </row>
    <row r="286" spans="1:5" x14ac:dyDescent="0.3">
      <c r="A286" s="2" t="s">
        <v>568</v>
      </c>
      <c r="B286" s="2" t="s">
        <v>569</v>
      </c>
      <c r="C286" s="4">
        <v>-671187.66399999999</v>
      </c>
      <c r="D286" s="4">
        <v>-557786.90300000005</v>
      </c>
      <c r="E286" s="5">
        <f t="shared" si="4"/>
        <v>113400.76099999994</v>
      </c>
    </row>
    <row r="287" spans="1:5" x14ac:dyDescent="0.3">
      <c r="A287" s="2" t="s">
        <v>570</v>
      </c>
      <c r="B287" s="2" t="s">
        <v>571</v>
      </c>
      <c r="C287" s="4">
        <v>-29000</v>
      </c>
      <c r="D287" s="4">
        <v>0</v>
      </c>
      <c r="E287" s="5">
        <f t="shared" si="4"/>
        <v>29000</v>
      </c>
    </row>
    <row r="288" spans="1:5" x14ac:dyDescent="0.3">
      <c r="A288" s="2" t="s">
        <v>572</v>
      </c>
      <c r="B288" s="2" t="s">
        <v>573</v>
      </c>
      <c r="C288" s="4">
        <v>-1081.3800000000001</v>
      </c>
      <c r="D288" s="4">
        <v>-3458.375</v>
      </c>
      <c r="E288" s="5">
        <f t="shared" si="4"/>
        <v>-2376.9949999999999</v>
      </c>
    </row>
    <row r="289" spans="1:5" x14ac:dyDescent="0.3">
      <c r="A289" s="2" t="s">
        <v>574</v>
      </c>
      <c r="B289" s="2" t="s">
        <v>575</v>
      </c>
      <c r="C289" s="4">
        <v>-26970.536</v>
      </c>
      <c r="D289" s="4">
        <v>-23748.762999999999</v>
      </c>
      <c r="E289" s="5">
        <f t="shared" si="4"/>
        <v>3221.773000000001</v>
      </c>
    </row>
    <row r="290" spans="1:5" x14ac:dyDescent="0.3">
      <c r="A290" s="2" t="s">
        <v>576</v>
      </c>
      <c r="B290" s="2" t="s">
        <v>577</v>
      </c>
      <c r="C290" s="4">
        <v>-137889.60999999999</v>
      </c>
      <c r="D290" s="4">
        <v>0</v>
      </c>
      <c r="E290" s="5">
        <f t="shared" si="4"/>
        <v>137889.60999999999</v>
      </c>
    </row>
    <row r="291" spans="1:5" x14ac:dyDescent="0.3">
      <c r="A291" s="2" t="s">
        <v>578</v>
      </c>
      <c r="B291" s="2" t="s">
        <v>579</v>
      </c>
      <c r="C291" s="4">
        <v>-474871.527</v>
      </c>
      <c r="D291" s="4">
        <v>-1937940.216</v>
      </c>
      <c r="E291" s="5">
        <f t="shared" si="4"/>
        <v>-1463068.689</v>
      </c>
    </row>
    <row r="292" spans="1:5" x14ac:dyDescent="0.3">
      <c r="A292" s="2" t="s">
        <v>580</v>
      </c>
      <c r="B292" s="2" t="s">
        <v>581</v>
      </c>
      <c r="C292" s="4">
        <v>0</v>
      </c>
      <c r="D292" s="4">
        <v>0</v>
      </c>
      <c r="E292" s="5">
        <f t="shared" si="4"/>
        <v>0</v>
      </c>
    </row>
    <row r="293" spans="1:5" x14ac:dyDescent="0.3">
      <c r="A293" s="2" t="s">
        <v>582</v>
      </c>
      <c r="B293" s="2" t="s">
        <v>583</v>
      </c>
      <c r="C293" s="4">
        <v>0</v>
      </c>
      <c r="D293" s="4">
        <v>-2615.998</v>
      </c>
      <c r="E293" s="5">
        <f t="shared" si="4"/>
        <v>-2615.998</v>
      </c>
    </row>
    <row r="294" spans="1:5" x14ac:dyDescent="0.3">
      <c r="A294" s="2" t="s">
        <v>584</v>
      </c>
      <c r="B294" s="2" t="s">
        <v>585</v>
      </c>
      <c r="C294" s="4">
        <v>-7200.6629999999996</v>
      </c>
      <c r="D294" s="4">
        <v>-3989.4850000000001</v>
      </c>
      <c r="E294" s="5">
        <f t="shared" si="4"/>
        <v>3211.1779999999994</v>
      </c>
    </row>
    <row r="295" spans="1:5" x14ac:dyDescent="0.3">
      <c r="A295" s="2" t="s">
        <v>586</v>
      </c>
      <c r="B295" s="2" t="s">
        <v>587</v>
      </c>
      <c r="C295" s="4">
        <v>-77171</v>
      </c>
      <c r="D295" s="4">
        <v>0</v>
      </c>
      <c r="E295" s="5">
        <f t="shared" si="4"/>
        <v>77171</v>
      </c>
    </row>
    <row r="296" spans="1:5" x14ac:dyDescent="0.3">
      <c r="A296" s="2" t="s">
        <v>588</v>
      </c>
      <c r="B296" s="2" t="s">
        <v>589</v>
      </c>
      <c r="C296" s="4">
        <v>-5500</v>
      </c>
      <c r="D296" s="4">
        <v>-211252.64199999999</v>
      </c>
      <c r="E296" s="5">
        <f t="shared" si="4"/>
        <v>-205752.64199999999</v>
      </c>
    </row>
    <row r="297" spans="1:5" x14ac:dyDescent="0.3">
      <c r="A297" s="2" t="s">
        <v>590</v>
      </c>
      <c r="B297" s="2" t="s">
        <v>591</v>
      </c>
      <c r="C297" s="4">
        <v>0</v>
      </c>
      <c r="D297" s="4">
        <v>-18862.026000000002</v>
      </c>
      <c r="E297" s="5">
        <f t="shared" si="4"/>
        <v>-18862.026000000002</v>
      </c>
    </row>
    <row r="298" spans="1:5" x14ac:dyDescent="0.3">
      <c r="A298" s="2" t="s">
        <v>592</v>
      </c>
      <c r="B298" s="2" t="s">
        <v>593</v>
      </c>
      <c r="C298" s="4">
        <v>0</v>
      </c>
      <c r="D298" s="4">
        <v>-417349.06900000002</v>
      </c>
      <c r="E298" s="5">
        <f t="shared" si="4"/>
        <v>-417349.06900000002</v>
      </c>
    </row>
    <row r="299" spans="1:5" x14ac:dyDescent="0.3">
      <c r="A299" s="2" t="s">
        <v>594</v>
      </c>
      <c r="B299" s="2" t="s">
        <v>595</v>
      </c>
      <c r="C299" s="4">
        <v>-12700</v>
      </c>
      <c r="D299" s="4">
        <v>-80074.789999999994</v>
      </c>
      <c r="E299" s="5">
        <f t="shared" si="4"/>
        <v>-67374.789999999994</v>
      </c>
    </row>
    <row r="300" spans="1:5" x14ac:dyDescent="0.3">
      <c r="A300" s="2" t="s">
        <v>596</v>
      </c>
      <c r="B300" s="2" t="s">
        <v>597</v>
      </c>
      <c r="C300" s="4">
        <v>-7228.8360000000002</v>
      </c>
      <c r="D300" s="4">
        <v>-33283.57</v>
      </c>
      <c r="E300" s="5">
        <f t="shared" si="4"/>
        <v>-26054.734</v>
      </c>
    </row>
    <row r="301" spans="1:5" x14ac:dyDescent="0.3">
      <c r="C301" s="4">
        <f>SUM(C2:C300)</f>
        <v>2.8007889341097325E-8</v>
      </c>
      <c r="D301" s="4">
        <f>SUM(D2:D300)</f>
        <v>1.0913936421275139E-10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9.109375" defaultRowHeight="14.4" x14ac:dyDescent="0.3"/>
  <cols>
    <col min="1" max="4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92</v>
      </c>
      <c r="B2" t="s">
        <v>91</v>
      </c>
      <c r="C2">
        <v>-2977</v>
      </c>
      <c r="D2">
        <v>0</v>
      </c>
    </row>
    <row r="3" spans="1:4" x14ac:dyDescent="0.3">
      <c r="A3" t="s">
        <v>101</v>
      </c>
      <c r="B3" t="s">
        <v>102</v>
      </c>
      <c r="C3">
        <v>-7706.3190000000004</v>
      </c>
      <c r="D3">
        <v>0</v>
      </c>
    </row>
    <row r="4" spans="1:4" x14ac:dyDescent="0.3">
      <c r="A4" t="s">
        <v>109</v>
      </c>
      <c r="B4" t="s">
        <v>110</v>
      </c>
      <c r="C4">
        <v>-233413.05499999999</v>
      </c>
      <c r="D4">
        <v>0</v>
      </c>
    </row>
    <row r="5" spans="1:4" x14ac:dyDescent="0.3">
      <c r="A5" t="s">
        <v>277</v>
      </c>
      <c r="B5" t="s">
        <v>278</v>
      </c>
      <c r="C5">
        <v>13612.239</v>
      </c>
      <c r="D5">
        <v>0</v>
      </c>
    </row>
    <row r="6" spans="1:4" x14ac:dyDescent="0.3">
      <c r="A6" t="s">
        <v>327</v>
      </c>
      <c r="B6" t="s">
        <v>328</v>
      </c>
      <c r="C6">
        <v>479</v>
      </c>
      <c r="D6">
        <v>0</v>
      </c>
    </row>
    <row r="7" spans="1:4" x14ac:dyDescent="0.3">
      <c r="A7" t="s">
        <v>331</v>
      </c>
      <c r="B7" t="s">
        <v>332</v>
      </c>
      <c r="C7">
        <v>370487.16100000002</v>
      </c>
      <c r="D7">
        <v>0</v>
      </c>
    </row>
    <row r="8" spans="1:4" x14ac:dyDescent="0.3">
      <c r="A8" t="s">
        <v>339</v>
      </c>
      <c r="B8" t="s">
        <v>340</v>
      </c>
      <c r="C8">
        <v>50</v>
      </c>
      <c r="D8">
        <v>0</v>
      </c>
    </row>
    <row r="9" spans="1:4" x14ac:dyDescent="0.3">
      <c r="A9" t="s">
        <v>341</v>
      </c>
      <c r="B9" t="s">
        <v>342</v>
      </c>
      <c r="C9">
        <v>936.5</v>
      </c>
      <c r="D9">
        <v>0</v>
      </c>
    </row>
    <row r="10" spans="1:4" x14ac:dyDescent="0.3">
      <c r="A10" t="s">
        <v>347</v>
      </c>
      <c r="B10" t="s">
        <v>348</v>
      </c>
      <c r="C10">
        <v>31111.662</v>
      </c>
      <c r="D10">
        <v>0</v>
      </c>
    </row>
    <row r="11" spans="1:4" x14ac:dyDescent="0.3">
      <c r="A11" t="s">
        <v>351</v>
      </c>
      <c r="B11" t="s">
        <v>352</v>
      </c>
      <c r="C11">
        <v>108.81399999999999</v>
      </c>
      <c r="D11">
        <v>0</v>
      </c>
    </row>
    <row r="12" spans="1:4" x14ac:dyDescent="0.3">
      <c r="A12" t="s">
        <v>363</v>
      </c>
      <c r="B12" t="s">
        <v>364</v>
      </c>
      <c r="C12">
        <v>-35269.375</v>
      </c>
      <c r="D12">
        <v>0</v>
      </c>
    </row>
    <row r="13" spans="1:4" x14ac:dyDescent="0.3">
      <c r="A13" t="s">
        <v>365</v>
      </c>
      <c r="B13" t="s">
        <v>366</v>
      </c>
      <c r="C13">
        <v>1293333.24</v>
      </c>
      <c r="D13">
        <v>0</v>
      </c>
    </row>
    <row r="14" spans="1:4" x14ac:dyDescent="0.3">
      <c r="A14" t="s">
        <v>367</v>
      </c>
      <c r="B14" t="s">
        <v>368</v>
      </c>
      <c r="C14">
        <v>166.387</v>
      </c>
      <c r="D14">
        <v>0</v>
      </c>
    </row>
    <row r="15" spans="1:4" x14ac:dyDescent="0.3">
      <c r="A15" t="s">
        <v>431</v>
      </c>
      <c r="B15" t="s">
        <v>432</v>
      </c>
      <c r="C15">
        <v>190</v>
      </c>
      <c r="D15">
        <v>0</v>
      </c>
    </row>
    <row r="16" spans="1:4" x14ac:dyDescent="0.3">
      <c r="A16" t="s">
        <v>439</v>
      </c>
      <c r="B16" t="s">
        <v>440</v>
      </c>
      <c r="C16">
        <v>13604.196</v>
      </c>
      <c r="D16">
        <v>0</v>
      </c>
    </row>
    <row r="17" spans="1:4" x14ac:dyDescent="0.3">
      <c r="A17" t="s">
        <v>473</v>
      </c>
      <c r="B17" t="s">
        <v>474</v>
      </c>
      <c r="C17">
        <v>14166.666999999999</v>
      </c>
      <c r="D17">
        <v>0</v>
      </c>
    </row>
    <row r="18" spans="1:4" x14ac:dyDescent="0.3">
      <c r="A18" t="s">
        <v>483</v>
      </c>
      <c r="B18" t="s">
        <v>484</v>
      </c>
      <c r="C18">
        <v>-68030</v>
      </c>
      <c r="D18">
        <v>0</v>
      </c>
    </row>
    <row r="19" spans="1:4" x14ac:dyDescent="0.3">
      <c r="A19" t="s">
        <v>489</v>
      </c>
      <c r="B19" t="s">
        <v>490</v>
      </c>
      <c r="C19">
        <v>45758.588000000003</v>
      </c>
      <c r="D19">
        <v>0</v>
      </c>
    </row>
    <row r="20" spans="1:4" x14ac:dyDescent="0.3">
      <c r="A20" t="s">
        <v>491</v>
      </c>
      <c r="B20" t="s">
        <v>490</v>
      </c>
      <c r="C20">
        <v>-33105.014000000003</v>
      </c>
      <c r="D20">
        <v>0</v>
      </c>
    </row>
    <row r="21" spans="1:4" x14ac:dyDescent="0.3">
      <c r="A21" t="s">
        <v>530</v>
      </c>
      <c r="B21" t="s">
        <v>531</v>
      </c>
      <c r="C21">
        <v>60</v>
      </c>
      <c r="D21">
        <v>0</v>
      </c>
    </row>
    <row r="22" spans="1:4" x14ac:dyDescent="0.3">
      <c r="A22" t="s">
        <v>542</v>
      </c>
      <c r="B22" t="s">
        <v>543</v>
      </c>
      <c r="C22">
        <v>12433</v>
      </c>
      <c r="D22">
        <v>0</v>
      </c>
    </row>
    <row r="23" spans="1:4" x14ac:dyDescent="0.3">
      <c r="A23" t="s">
        <v>570</v>
      </c>
      <c r="B23" t="s">
        <v>571</v>
      </c>
      <c r="C23">
        <v>-29000</v>
      </c>
      <c r="D23">
        <v>0</v>
      </c>
    </row>
    <row r="24" spans="1:4" x14ac:dyDescent="0.3">
      <c r="A24" t="s">
        <v>576</v>
      </c>
      <c r="B24" t="s">
        <v>577</v>
      </c>
      <c r="C24">
        <v>-137889.60999999999</v>
      </c>
      <c r="D24">
        <v>0</v>
      </c>
    </row>
    <row r="25" spans="1:4" x14ac:dyDescent="0.3">
      <c r="A25" t="s">
        <v>586</v>
      </c>
      <c r="B25" t="s">
        <v>587</v>
      </c>
      <c r="C25">
        <v>-77171</v>
      </c>
      <c r="D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/>
  </sheetViews>
  <sheetFormatPr baseColWidth="10" defaultColWidth="9.109375" defaultRowHeight="14.4" x14ac:dyDescent="0.3"/>
  <cols>
    <col min="1" max="4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16</v>
      </c>
      <c r="B2" t="s">
        <v>17</v>
      </c>
      <c r="C2">
        <v>0</v>
      </c>
      <c r="D2">
        <v>1061668</v>
      </c>
    </row>
    <row r="3" spans="1:4" x14ac:dyDescent="0.3">
      <c r="A3" t="s">
        <v>26</v>
      </c>
      <c r="B3" t="s">
        <v>27</v>
      </c>
      <c r="C3">
        <v>0</v>
      </c>
      <c r="D3">
        <v>-101734.586</v>
      </c>
    </row>
    <row r="4" spans="1:4" x14ac:dyDescent="0.3">
      <c r="A4" t="s">
        <v>36</v>
      </c>
      <c r="B4" t="s">
        <v>37</v>
      </c>
      <c r="C4">
        <v>0</v>
      </c>
      <c r="D4">
        <v>-44120.671000000002</v>
      </c>
    </row>
    <row r="5" spans="1:4" x14ac:dyDescent="0.3">
      <c r="A5" t="s">
        <v>38</v>
      </c>
      <c r="B5" t="s">
        <v>39</v>
      </c>
      <c r="C5">
        <v>0</v>
      </c>
      <c r="D5">
        <v>-48013.589</v>
      </c>
    </row>
    <row r="6" spans="1:4" x14ac:dyDescent="0.3">
      <c r="A6" t="s">
        <v>52</v>
      </c>
      <c r="B6" t="s">
        <v>53</v>
      </c>
      <c r="C6">
        <v>0</v>
      </c>
      <c r="D6">
        <v>150653.46400000001</v>
      </c>
    </row>
    <row r="7" spans="1:4" x14ac:dyDescent="0.3">
      <c r="A7" t="s">
        <v>84</v>
      </c>
      <c r="B7" t="s">
        <v>85</v>
      </c>
      <c r="C7">
        <v>0</v>
      </c>
      <c r="D7">
        <v>1725013.81</v>
      </c>
    </row>
    <row r="8" spans="1:4" x14ac:dyDescent="0.3">
      <c r="A8" t="s">
        <v>133</v>
      </c>
      <c r="B8" t="s">
        <v>134</v>
      </c>
      <c r="C8">
        <v>0</v>
      </c>
      <c r="D8">
        <v>-1E-3</v>
      </c>
    </row>
    <row r="9" spans="1:4" x14ac:dyDescent="0.3">
      <c r="A9" t="s">
        <v>149</v>
      </c>
      <c r="B9" t="s">
        <v>150</v>
      </c>
      <c r="C9">
        <v>0</v>
      </c>
      <c r="D9">
        <v>34875.387999999999</v>
      </c>
    </row>
    <row r="10" spans="1:4" x14ac:dyDescent="0.3">
      <c r="A10" t="s">
        <v>151</v>
      </c>
      <c r="B10" t="s">
        <v>152</v>
      </c>
      <c r="C10">
        <v>0</v>
      </c>
      <c r="D10">
        <v>-405079.815</v>
      </c>
    </row>
    <row r="11" spans="1:4" x14ac:dyDescent="0.3">
      <c r="A11" t="s">
        <v>153</v>
      </c>
      <c r="B11" t="s">
        <v>154</v>
      </c>
      <c r="C11">
        <v>0</v>
      </c>
      <c r="D11">
        <v>-48045.610999999997</v>
      </c>
    </row>
    <row r="12" spans="1:4" x14ac:dyDescent="0.3">
      <c r="A12" t="s">
        <v>161</v>
      </c>
      <c r="B12" t="s">
        <v>162</v>
      </c>
      <c r="C12">
        <v>0</v>
      </c>
      <c r="D12">
        <v>0.03</v>
      </c>
    </row>
    <row r="13" spans="1:4" x14ac:dyDescent="0.3">
      <c r="A13" t="s">
        <v>167</v>
      </c>
      <c r="B13" t="s">
        <v>168</v>
      </c>
      <c r="C13">
        <v>0</v>
      </c>
      <c r="D13">
        <v>-5.0999999999999997E-2</v>
      </c>
    </row>
    <row r="14" spans="1:4" x14ac:dyDescent="0.3">
      <c r="A14" t="s">
        <v>173</v>
      </c>
      <c r="B14" t="s">
        <v>174</v>
      </c>
      <c r="C14">
        <v>0</v>
      </c>
      <c r="D14">
        <v>-5.8999999999999997E-2</v>
      </c>
    </row>
    <row r="15" spans="1:4" x14ac:dyDescent="0.3">
      <c r="A15" t="s">
        <v>175</v>
      </c>
      <c r="B15" t="s">
        <v>176</v>
      </c>
      <c r="C15">
        <v>0</v>
      </c>
      <c r="D15">
        <v>108546.568</v>
      </c>
    </row>
    <row r="16" spans="1:4" x14ac:dyDescent="0.3">
      <c r="A16" t="s">
        <v>181</v>
      </c>
      <c r="B16" t="s">
        <v>182</v>
      </c>
      <c r="C16">
        <v>0</v>
      </c>
      <c r="D16">
        <v>2</v>
      </c>
    </row>
    <row r="17" spans="1:4" x14ac:dyDescent="0.3">
      <c r="A17" t="s">
        <v>207</v>
      </c>
      <c r="B17" t="s">
        <v>208</v>
      </c>
      <c r="C17">
        <v>0</v>
      </c>
      <c r="D17">
        <v>-936.61300000000006</v>
      </c>
    </row>
    <row r="18" spans="1:4" x14ac:dyDescent="0.3">
      <c r="A18" t="s">
        <v>239</v>
      </c>
      <c r="B18" t="s">
        <v>240</v>
      </c>
      <c r="C18">
        <v>0</v>
      </c>
      <c r="D18">
        <v>-122314.94</v>
      </c>
    </row>
    <row r="19" spans="1:4" x14ac:dyDescent="0.3">
      <c r="A19" t="s">
        <v>357</v>
      </c>
      <c r="B19" t="s">
        <v>358</v>
      </c>
      <c r="C19">
        <v>0</v>
      </c>
      <c r="D19">
        <v>1262.712</v>
      </c>
    </row>
    <row r="20" spans="1:4" x14ac:dyDescent="0.3">
      <c r="A20" t="s">
        <v>479</v>
      </c>
      <c r="B20" t="s">
        <v>480</v>
      </c>
      <c r="C20">
        <v>0</v>
      </c>
      <c r="D20">
        <v>25034.931</v>
      </c>
    </row>
    <row r="21" spans="1:4" x14ac:dyDescent="0.3">
      <c r="A21" t="s">
        <v>485</v>
      </c>
      <c r="B21" t="s">
        <v>486</v>
      </c>
      <c r="C21">
        <v>0</v>
      </c>
      <c r="D21">
        <v>2400</v>
      </c>
    </row>
    <row r="22" spans="1:4" x14ac:dyDescent="0.3">
      <c r="A22" t="s">
        <v>492</v>
      </c>
      <c r="B22" t="s">
        <v>490</v>
      </c>
      <c r="C22">
        <v>0</v>
      </c>
      <c r="D22">
        <v>22116.787</v>
      </c>
    </row>
    <row r="23" spans="1:4" x14ac:dyDescent="0.3">
      <c r="A23" t="s">
        <v>507</v>
      </c>
      <c r="B23" t="s">
        <v>508</v>
      </c>
      <c r="C23">
        <v>0</v>
      </c>
      <c r="D23">
        <v>3240.67</v>
      </c>
    </row>
    <row r="24" spans="1:4" x14ac:dyDescent="0.3">
      <c r="A24" t="s">
        <v>513</v>
      </c>
      <c r="B24" t="s">
        <v>514</v>
      </c>
      <c r="C24">
        <v>0</v>
      </c>
      <c r="D24">
        <v>9045.4179999999997</v>
      </c>
    </row>
    <row r="25" spans="1:4" x14ac:dyDescent="0.3">
      <c r="A25" t="s">
        <v>544</v>
      </c>
      <c r="B25" t="s">
        <v>545</v>
      </c>
      <c r="C25">
        <v>0</v>
      </c>
      <c r="D25">
        <v>4406.5</v>
      </c>
    </row>
    <row r="26" spans="1:4" x14ac:dyDescent="0.3">
      <c r="A26" t="s">
        <v>546</v>
      </c>
      <c r="B26" t="s">
        <v>547</v>
      </c>
      <c r="C26">
        <v>0</v>
      </c>
      <c r="D26">
        <v>196530.20499999999</v>
      </c>
    </row>
    <row r="27" spans="1:4" x14ac:dyDescent="0.3">
      <c r="A27" t="s">
        <v>550</v>
      </c>
      <c r="B27" t="s">
        <v>551</v>
      </c>
      <c r="C27">
        <v>0</v>
      </c>
      <c r="D27">
        <v>25151.776999999998</v>
      </c>
    </row>
    <row r="28" spans="1:4" x14ac:dyDescent="0.3">
      <c r="A28" t="s">
        <v>552</v>
      </c>
      <c r="B28" t="s">
        <v>553</v>
      </c>
      <c r="C28">
        <v>0</v>
      </c>
      <c r="D28">
        <v>230000</v>
      </c>
    </row>
    <row r="29" spans="1:4" x14ac:dyDescent="0.3">
      <c r="A29" t="s">
        <v>554</v>
      </c>
      <c r="B29" t="s">
        <v>555</v>
      </c>
      <c r="C29">
        <v>0</v>
      </c>
      <c r="D29">
        <v>135592.185</v>
      </c>
    </row>
    <row r="30" spans="1:4" x14ac:dyDescent="0.3">
      <c r="A30" t="s">
        <v>582</v>
      </c>
      <c r="B30" t="s">
        <v>583</v>
      </c>
      <c r="C30">
        <v>0</v>
      </c>
      <c r="D30">
        <v>-2615.998</v>
      </c>
    </row>
    <row r="31" spans="1:4" x14ac:dyDescent="0.3">
      <c r="A31" t="s">
        <v>590</v>
      </c>
      <c r="B31" t="s">
        <v>591</v>
      </c>
      <c r="C31">
        <v>0</v>
      </c>
      <c r="D31">
        <v>-18862.026000000002</v>
      </c>
    </row>
    <row r="32" spans="1:4" x14ac:dyDescent="0.3">
      <c r="A32" t="s">
        <v>592</v>
      </c>
      <c r="B32" t="s">
        <v>593</v>
      </c>
      <c r="C32">
        <v>0</v>
      </c>
      <c r="D32">
        <v>-417349.06900000002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Balance consolidée</vt:lpstr>
      <vt:lpstr>Uniquement 2024</vt:lpstr>
      <vt:lpstr>Uniquement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2026-05-30T11:13:00Z</dcterms:created>
  <dcterms:modified xsi:type="dcterms:W3CDTF">2026-05-30T12:48:25Z</dcterms:modified>
</cp:coreProperties>
</file>